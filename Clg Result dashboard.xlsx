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E:\"/>
    </mc:Choice>
  </mc:AlternateContent>
  <xr:revisionPtr revIDLastSave="0" documentId="8_{45F34700-9A3C-4C59-A0EB-24A2F41C923C}" xr6:coauthVersionLast="47" xr6:coauthVersionMax="47" xr10:uidLastSave="{00000000-0000-0000-0000-000000000000}"/>
  <bookViews>
    <workbookView xWindow="-108" yWindow="-108" windowWidth="23256" windowHeight="12456" activeTab="1" xr2:uid="{D931236C-65E7-45CF-9E88-E142191A6377}"/>
  </bookViews>
  <sheets>
    <sheet name="DASHBOARD" sheetId="6" r:id="rId1"/>
    <sheet name="pivot table" sheetId="3" r:id="rId2"/>
    <sheet name="student data" sheetId="1" r:id="rId3"/>
  </sheets>
  <definedNames>
    <definedName name="Slicer_Department">#N/A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<sst xmlns="http://schemas.openxmlformats.org/spreadsheetml/2006/main" count="305" uniqueCount="115">
  <si>
    <t>Year</t>
  </si>
  <si>
    <t>Month</t>
  </si>
  <si>
    <t>Pass</t>
  </si>
  <si>
    <t>Fail</t>
  </si>
  <si>
    <t>Jan</t>
  </si>
  <si>
    <t>Roll No</t>
  </si>
  <si>
    <t>Gender</t>
  </si>
  <si>
    <t>Department</t>
  </si>
  <si>
    <t>Subject 1</t>
  </si>
  <si>
    <t>Subject 2</t>
  </si>
  <si>
    <t>Subject 3</t>
  </si>
  <si>
    <t>Internal Marks</t>
  </si>
  <si>
    <t>Total Marks</t>
  </si>
  <si>
    <t>Obtained Marks</t>
  </si>
  <si>
    <t>Attendance %</t>
  </si>
  <si>
    <t>Percentage</t>
  </si>
  <si>
    <t>Result</t>
  </si>
  <si>
    <t>Grade</t>
  </si>
  <si>
    <t>CSE101</t>
  </si>
  <si>
    <t>Arun</t>
  </si>
  <si>
    <t>M</t>
  </si>
  <si>
    <t>CSE</t>
  </si>
  <si>
    <t>Programming (80)</t>
  </si>
  <si>
    <t>Data Structures (78)</t>
  </si>
  <si>
    <t>DBMS (82)</t>
  </si>
  <si>
    <t>A</t>
  </si>
  <si>
    <t>Feb</t>
  </si>
  <si>
    <t>IT102</t>
  </si>
  <si>
    <t>Divya</t>
  </si>
  <si>
    <t>F</t>
  </si>
  <si>
    <t>IT</t>
  </si>
  <si>
    <t>Networking (70)</t>
  </si>
  <si>
    <t>Web Tech (72)</t>
  </si>
  <si>
    <t>Software Eng (68)</t>
  </si>
  <si>
    <t>Mar</t>
  </si>
  <si>
    <t>ECE103</t>
  </si>
  <si>
    <t>Bala</t>
  </si>
  <si>
    <t>ECE</t>
  </si>
  <si>
    <t>Digital Circuits (65)</t>
  </si>
  <si>
    <t>Signals (60)</t>
  </si>
  <si>
    <t>Microprocessors (62)</t>
  </si>
  <si>
    <t>B</t>
  </si>
  <si>
    <t>Apr</t>
  </si>
  <si>
    <t>EEE104</t>
  </si>
  <si>
    <t>Priya</t>
  </si>
  <si>
    <t>EEE</t>
  </si>
  <si>
    <t>Power Systems (90)</t>
  </si>
  <si>
    <t>Control Engg (88)</t>
  </si>
  <si>
    <t>Machines (85)</t>
  </si>
  <si>
    <t>A+</t>
  </si>
  <si>
    <t>May</t>
  </si>
  <si>
    <t>ME105</t>
  </si>
  <si>
    <t>Farhan</t>
  </si>
  <si>
    <t>ME</t>
  </si>
  <si>
    <t>Thermodynamics (55)</t>
  </si>
  <si>
    <t>Fluid Mechanics (58)</t>
  </si>
  <si>
    <t>Manufacturing (60)</t>
  </si>
  <si>
    <t>C</t>
  </si>
  <si>
    <t>CSE106</t>
  </si>
  <si>
    <t>Gokul</t>
  </si>
  <si>
    <t>Programming (95)</t>
  </si>
  <si>
    <t>Data Structures (92)</t>
  </si>
  <si>
    <t>DBMS (90)</t>
  </si>
  <si>
    <t>IT107</t>
  </si>
  <si>
    <t>Harini</t>
  </si>
  <si>
    <t>Networking (65)</t>
  </si>
  <si>
    <t>Web Tech (70)</t>
  </si>
  <si>
    <t>ECE108</t>
  </si>
  <si>
    <t>Ishwar</t>
  </si>
  <si>
    <t>Digital Circuits (40)</t>
  </si>
  <si>
    <t>Signals (45)</t>
  </si>
  <si>
    <t>Microprocessors (48)</t>
  </si>
  <si>
    <t>Jul</t>
  </si>
  <si>
    <t>EEE109</t>
  </si>
  <si>
    <t>Jaya</t>
  </si>
  <si>
    <t>Power Systems (75)</t>
  </si>
  <si>
    <t>Control Engg (72)</t>
  </si>
  <si>
    <t>Machines (78)</t>
  </si>
  <si>
    <t>Data Structures (85)</t>
  </si>
  <si>
    <t>Signals (68)</t>
  </si>
  <si>
    <t>CSE121</t>
  </si>
  <si>
    <t>Vignesh</t>
  </si>
  <si>
    <t>Programming (90)</t>
  </si>
  <si>
    <t>DBMS (80)</t>
  </si>
  <si>
    <t>IT122</t>
  </si>
  <si>
    <t>Yamini</t>
  </si>
  <si>
    <t>Networking (55)</t>
  </si>
  <si>
    <t>Web Tech (50)</t>
  </si>
  <si>
    <t>Software Eng (58)</t>
  </si>
  <si>
    <t>ECE123</t>
  </si>
  <si>
    <t>Zoya</t>
  </si>
  <si>
    <t>Microprocessors (70)</t>
  </si>
  <si>
    <t>EEE124</t>
  </si>
  <si>
    <t>Arul</t>
  </si>
  <si>
    <t>Power Systems (35)</t>
  </si>
  <si>
    <t>Control Engg (38)</t>
  </si>
  <si>
    <t>Machines (40)</t>
  </si>
  <si>
    <t>CSE102</t>
  </si>
  <si>
    <t>IT103</t>
  </si>
  <si>
    <t>ECE104</t>
  </si>
  <si>
    <t>EEE105</t>
  </si>
  <si>
    <t>ME106</t>
  </si>
  <si>
    <t>CSE107</t>
  </si>
  <si>
    <t>IT108</t>
  </si>
  <si>
    <t>ECE109</t>
  </si>
  <si>
    <t>EEE110</t>
  </si>
  <si>
    <t>Row Labels</t>
  </si>
  <si>
    <t>Grand Total</t>
  </si>
  <si>
    <t>Sum of Total Marks</t>
  </si>
  <si>
    <t>Sum of Internal Marks</t>
  </si>
  <si>
    <t>Sum of Attendance %</t>
  </si>
  <si>
    <t>Count of Grade</t>
  </si>
  <si>
    <t>Count of Result</t>
  </si>
  <si>
    <t>Sum of Obtained Marks</t>
  </si>
  <si>
    <t>Stud+D1:D23ent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</si>
</sst>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9" fontId="0" fillId="0" borderId="0" xfId="0" applyNumberFormat="1"/>
    <xf numFmtId="9" fontId="0" fillId="0" borderId="0" xfId="0" applyNumberFormat="1" applyAlignment="1">
      <alignment vertical="center" wrapText="1"/>
    </xf>
    <xf numFmtId="10" fontId="0" fillId="0" borderId="0" xfId="0" applyNumberFormat="1" applyAlignment="1">
      <alignment vertical="center" wrapText="1"/>
    </xf>
    <xf numFmtId="0" fontId="0" fillId="0" borderId="0" xfId="0" pivotButton="1"/>
    <xf numFmtId="0" fontId="0" fillId="0" borderId="0" xfId="0" applyAlignment="1">
      <alignment horizontal="left"/>
    </xf>
    <xf numFmtId="2" fontId="0" fillId="0" borderId="0" xfId="0" pivotButton="1" applyNumberFormat="1"/>
    <xf numFmtId="2" fontId="0" fillId="0" borderId="0" xfId="0" applyNumberFormat="1"/>
    <xf numFmtId="2" fontId="0" fillId="0" borderId="0" xfId="0" applyNumberFormat="1" applyAlignment="1">
      <alignment horizontal="left"/>
    </xf>
    <xf numFmtId="1" fontId="0" fillId="0" borderId="0" xfId="0" applyNumberFormat="1"/>
    <xf numFmtId="0" fontId="1" fillId="0" borderId="0" xfId="0" applyFont="1"/>
  </cellXfs>
  <cellStyles count="1">
    <cellStyle name="Normal" xfId="0" builtinId="0"/>
  </cellStyles>
  <dxfs count="48">
    <dxf>
      <alignment horizontal="general" vertical="center" textRotation="0" wrapText="1" indent="0" justifyLastLine="0" shrinkToFit="0" readingOrder="0"/>
    </dxf>
    <dxf>
      <alignment horizontal="general" vertical="center" textRotation="0" wrapText="1" indent="0" justifyLastLine="0" shrinkToFit="0" readingOrder="0"/>
    </dxf>
    <dxf>
      <numFmt numFmtId="14" formatCode="0.00%"/>
      <alignment horizontal="general" vertical="center" textRotation="0" wrapText="1" indent="0" justifyLastLine="0" shrinkToFit="0" readingOrder="0"/>
    </dxf>
    <dxf>
      <numFmt numFmtId="13" formatCode="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CE4A08"/>
      <color rgb="FFCC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[Clg Result dashboard.xlsx]pivot table!PivotTable2</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table'!$A$4:$A$8</c:f>
              <c:strCache>
                <c:ptCount val="4"/>
                <c:pt idx="0">
                  <c:v>2021</c:v>
                </c:pt>
                <c:pt idx="1">
                  <c:v>2022</c:v>
                </c:pt>
                <c:pt idx="2">
                  <c:v>2023</c:v>
                </c:pt>
                <c:pt idx="3">
                  <c:v>2025</c:v>
                </c:pt>
              </c:strCache>
            </c:strRef>
          </c:cat>
          <c:val>
            <c:numRef>
              <c:f>'pivot table'!$B$4:$B$8</c:f>
              <c:numCache>
                <c:formatCode>General</c:formatCode>
                <c:ptCount val="4"/>
                <c:pt idx="0">
                  <c:v>1500</c:v>
                </c:pt>
                <c:pt idx="1">
                  <c:v>2700</c:v>
                </c:pt>
                <c:pt idx="2">
                  <c:v>1200</c:v>
                </c:pt>
                <c:pt idx="3">
                  <c:v>1200</c:v>
                </c:pt>
              </c:numCache>
            </c:numRef>
          </c:val>
          <c:extLst>
            <c:ext xmlns:c16="http://schemas.microsoft.com/office/drawing/2014/chart" uri="{C3380CC4-5D6E-409C-BE32-E72D297353CC}">
              <c16:uniqueId val="{00000000-C245-453E-9122-49AF481C2628}"/>
            </c:ext>
          </c:extLst>
        </c:ser>
        <c:dLbls>
          <c:showLegendKey val="0"/>
          <c:showVal val="0"/>
          <c:showCatName val="0"/>
          <c:showSerName val="0"/>
          <c:showPercent val="0"/>
          <c:showBubbleSize val="0"/>
        </c:dLbls>
        <c:gapWidth val="150"/>
        <c:overlap val="100"/>
        <c:axId val="1580662287"/>
        <c:axId val="1580667087"/>
      </c:barChart>
      <c:catAx>
        <c:axId val="15806622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0667087"/>
        <c:crosses val="autoZero"/>
        <c:auto val="1"/>
        <c:lblAlgn val="ctr"/>
        <c:lblOffset val="100"/>
        <c:noMultiLvlLbl val="0"/>
      </c:catAx>
      <c:valAx>
        <c:axId val="1580667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066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[Clg Result dashboard.xlsx]pivot table!PivotTable7</c:name>
    <c:fmtId val="1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table'!$E$15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table'!$D$16:$D$21</c:f>
              <c:strCache>
                <c:ptCount val="5"/>
                <c:pt idx="0">
                  <c:v>CSE</c:v>
                </c:pt>
                <c:pt idx="1">
                  <c:v>ECE</c:v>
                </c:pt>
                <c:pt idx="2">
                  <c:v>EEE</c:v>
                </c:pt>
                <c:pt idx="3">
                  <c:v>IT</c:v>
                </c:pt>
                <c:pt idx="4">
                  <c:v>ME</c:v>
                </c:pt>
              </c:strCache>
            </c:strRef>
          </c:cat>
          <c:val>
            <c:numRef>
              <c:f>'pivot table'!$E$16:$E$21</c:f>
              <c:numCache>
                <c:formatCode>0</c:formatCode>
                <c:ptCount val="5"/>
                <c:pt idx="0">
                  <c:v>1174.416666666667</c:v>
                </c:pt>
                <c:pt idx="1">
                  <c:v>911.15</c:v>
                </c:pt>
                <c:pt idx="2">
                  <c:v>994.51666666666699</c:v>
                </c:pt>
                <c:pt idx="3">
                  <c:v>986.78333333333296</c:v>
                </c:pt>
                <c:pt idx="4">
                  <c:v>368.98333333333301</c:v>
                </c:pt>
              </c:numCache>
            </c:numRef>
          </c:val>
          <c:extLst>
            <c:ext xmlns:c16="http://schemas.microsoft.com/office/drawing/2014/chart" uri="{C3380CC4-5D6E-409C-BE32-E72D297353CC}">
              <c16:uniqueId val="{00000000-005B-46FB-A7B8-23ECAD1A6C18}"/>
            </c:ext>
          </c:extLst>
        </c:ser>
        <c:dLbls>
          <c:showLegendKey val="0"/>
          <c:showVal val="1"/>
          <c:showCatName val="0"/>
          <c:showSerName val="0"/>
          <c:showPercent val="0"/>
          <c:showBubbleSize val="0"/>
        </c:dLbls>
        <c:gapWidth val="150"/>
        <c:shape val="box"/>
        <c:axId val="186886671"/>
        <c:axId val="186876591"/>
        <c:axId val="188451807"/>
      </c:bar3DChart>
      <c:catAx>
        <c:axId val="186886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876591"/>
        <c:crosses val="autoZero"/>
        <c:auto val="1"/>
        <c:lblAlgn val="ctr"/>
        <c:lblOffset val="100"/>
        <c:noMultiLvlLbl val="0"/>
      </c:catAx>
      <c:valAx>
        <c:axId val="186876591"/>
        <c:scaling>
          <c:orientation val="minMax"/>
        </c:scaling>
        <c:delete val="1"/>
        <c:axPos val="l"/>
        <c:numFmt formatCode="0" sourceLinked="1"/>
        <c:majorTickMark val="none"/>
        <c:minorTickMark val="none"/>
        <c:tickLblPos val="nextTo"/>
        <c:crossAx val="186886671"/>
        <c:crosses val="autoZero"/>
        <c:crossBetween val="between"/>
      </c:valAx>
      <c:serAx>
        <c:axId val="188451807"/>
        <c:scaling>
          <c:orientation val="minMax"/>
        </c:scaling>
        <c:delete val="1"/>
        <c:axPos val="b"/>
        <c:majorTickMark val="none"/>
        <c:minorTickMark val="none"/>
        <c:tickLblPos val="nextTo"/>
        <c:crossAx val="186876591"/>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[Clg Result dashboard.xlsx]pivot table!PivotTable6</c:name>
    <c:fmtId val="1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table'!$A$16:$A$21</c:f>
              <c:strCache>
                <c:ptCount val="5"/>
                <c:pt idx="0">
                  <c:v>CSE</c:v>
                </c:pt>
                <c:pt idx="1">
                  <c:v>ECE</c:v>
                </c:pt>
                <c:pt idx="2">
                  <c:v>EEE</c:v>
                </c:pt>
                <c:pt idx="3">
                  <c:v>IT</c:v>
                </c:pt>
                <c:pt idx="4">
                  <c:v>ME</c:v>
                </c:pt>
              </c:strCache>
            </c:strRef>
          </c:cat>
          <c:val>
            <c:numRef>
              <c:f>'pivot table'!$B$16:$B$21</c:f>
              <c:numCache>
                <c:formatCode>0</c:formatCode>
                <c:ptCount val="5"/>
                <c:pt idx="0">
                  <c:v>5</c:v>
                </c:pt>
                <c:pt idx="1">
                  <c:v>5</c:v>
                </c:pt>
                <c:pt idx="2">
                  <c:v>5</c:v>
                </c:pt>
                <c:pt idx="3">
                  <c:v>5</c:v>
                </c:pt>
                <c:pt idx="4">
                  <c:v>2</c:v>
                </c:pt>
              </c:numCache>
            </c:numRef>
          </c:val>
          <c:extLst>
            <c:ext xmlns:c16="http://schemas.microsoft.com/office/drawing/2014/chart" uri="{C3380CC4-5D6E-409C-BE32-E72D297353CC}">
              <c16:uniqueId val="{00000000-EBEC-4FFD-B802-38ABBA6DCF47}"/>
            </c:ext>
          </c:extLst>
        </c:ser>
        <c:dLbls>
          <c:showLegendKey val="0"/>
          <c:showVal val="0"/>
          <c:showCatName val="0"/>
          <c:showSerName val="0"/>
          <c:showPercent val="0"/>
          <c:showBubbleSize val="0"/>
        </c:dLbls>
        <c:gapWidth val="150"/>
        <c:shape val="box"/>
        <c:axId val="2034757887"/>
        <c:axId val="2034750687"/>
        <c:axId val="0"/>
      </c:bar3DChart>
      <c:catAx>
        <c:axId val="2034757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4750687"/>
        <c:crosses val="autoZero"/>
        <c:auto val="1"/>
        <c:lblAlgn val="ctr"/>
        <c:lblOffset val="100"/>
        <c:noMultiLvlLbl val="0"/>
      </c:catAx>
      <c:valAx>
        <c:axId val="203475068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475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[Clg Result dashboard.xlsx]pivot table!PivotTable4</c:name>
    <c:fmtId val="3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60000"/>
                  <a:satMod val="103000"/>
                  <a:lumMod val="102000"/>
                  <a:tint val="94000"/>
                </a:schemeClr>
              </a:gs>
              <a:gs pos="50000">
                <a:schemeClr val="accent2">
                  <a:shade val="60000"/>
                  <a:satMod val="110000"/>
                  <a:lumMod val="100000"/>
                  <a:shade val="100000"/>
                </a:schemeClr>
              </a:gs>
              <a:gs pos="100000">
                <a:schemeClr val="accent2">
                  <a:shade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847331583552E-3"/>
              <c:y val="1.39741907261592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66000"/>
                  <a:satMod val="103000"/>
                  <a:lumMod val="102000"/>
                  <a:tint val="94000"/>
                </a:schemeClr>
              </a:gs>
              <a:gs pos="50000">
                <a:schemeClr val="accent2">
                  <a:shade val="66000"/>
                  <a:satMod val="110000"/>
                  <a:lumMod val="100000"/>
                  <a:shade val="100000"/>
                </a:schemeClr>
              </a:gs>
              <a:gs pos="100000">
                <a:schemeClr val="accent2">
                  <a:shade val="6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7952755905511808E-3"/>
              <c:y val="-1.60305482648002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tint val="61000"/>
                  <a:satMod val="103000"/>
                  <a:lumMod val="102000"/>
                  <a:tint val="94000"/>
                </a:schemeClr>
              </a:gs>
              <a:gs pos="50000">
                <a:schemeClr val="accent2">
                  <a:tint val="61000"/>
                  <a:satMod val="110000"/>
                  <a:lumMod val="100000"/>
                  <a:shade val="100000"/>
                </a:schemeClr>
              </a:gs>
              <a:gs pos="100000">
                <a:schemeClr val="accent2">
                  <a:tint val="61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4297900262467195E-3"/>
              <c:y val="8.425925925925925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tint val="67000"/>
                  <a:satMod val="103000"/>
                  <a:lumMod val="102000"/>
                  <a:tint val="94000"/>
                </a:schemeClr>
              </a:gs>
              <a:gs pos="50000">
                <a:schemeClr val="accent2">
                  <a:tint val="67000"/>
                  <a:satMod val="110000"/>
                  <a:lumMod val="100000"/>
                  <a:shade val="100000"/>
                </a:schemeClr>
              </a:gs>
              <a:gs pos="100000">
                <a:schemeClr val="accent2">
                  <a:tint val="6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428477690288714E-2"/>
              <c:y val="1.03346456692913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tint val="73000"/>
                  <a:satMod val="103000"/>
                  <a:lumMod val="102000"/>
                  <a:tint val="94000"/>
                </a:schemeClr>
              </a:gs>
              <a:gs pos="50000">
                <a:schemeClr val="accent2">
                  <a:tint val="73000"/>
                  <a:satMod val="110000"/>
                  <a:lumMod val="100000"/>
                  <a:shade val="100000"/>
                </a:schemeClr>
              </a:gs>
              <a:gs pos="100000">
                <a:schemeClr val="accent2">
                  <a:tint val="7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700349956255467E-3"/>
              <c:y val="-7.595144356955380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36000"/>
                  <a:satMod val="103000"/>
                  <a:lumMod val="102000"/>
                  <a:tint val="94000"/>
                </a:schemeClr>
              </a:gs>
              <a:gs pos="50000">
                <a:schemeClr val="accent2">
                  <a:shade val="36000"/>
                  <a:satMod val="110000"/>
                  <a:lumMod val="100000"/>
                  <a:shade val="100000"/>
                </a:schemeClr>
              </a:gs>
              <a:gs pos="100000">
                <a:schemeClr val="accent2">
                  <a:shade val="3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hade val="42000"/>
                  <a:satMod val="103000"/>
                  <a:lumMod val="102000"/>
                  <a:tint val="94000"/>
                </a:schemeClr>
              </a:gs>
              <a:gs pos="50000">
                <a:schemeClr val="accent2">
                  <a:shade val="42000"/>
                  <a:satMod val="110000"/>
                  <a:lumMod val="100000"/>
                  <a:shade val="100000"/>
                </a:schemeClr>
              </a:gs>
              <a:gs pos="100000">
                <a:schemeClr val="accent2">
                  <a:shade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hade val="48000"/>
                  <a:satMod val="103000"/>
                  <a:lumMod val="102000"/>
                  <a:tint val="94000"/>
                </a:schemeClr>
              </a:gs>
              <a:gs pos="50000">
                <a:schemeClr val="accent2">
                  <a:shade val="48000"/>
                  <a:satMod val="110000"/>
                  <a:lumMod val="100000"/>
                  <a:shade val="100000"/>
                </a:schemeClr>
              </a:gs>
              <a:gs pos="100000">
                <a:schemeClr val="accent2">
                  <a:shade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hade val="54000"/>
                  <a:satMod val="103000"/>
                  <a:lumMod val="102000"/>
                  <a:tint val="94000"/>
                </a:schemeClr>
              </a:gs>
              <a:gs pos="50000">
                <a:schemeClr val="accent2">
                  <a:shade val="54000"/>
                  <a:satMod val="110000"/>
                  <a:lumMod val="100000"/>
                  <a:shade val="100000"/>
                </a:schemeClr>
              </a:gs>
              <a:gs pos="100000">
                <a:schemeClr val="accent2">
                  <a:shade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hade val="60000"/>
                  <a:satMod val="103000"/>
                  <a:lumMod val="102000"/>
                  <a:tint val="94000"/>
                </a:schemeClr>
              </a:gs>
              <a:gs pos="50000">
                <a:schemeClr val="accent2">
                  <a:shade val="60000"/>
                  <a:satMod val="110000"/>
                  <a:lumMod val="100000"/>
                  <a:shade val="100000"/>
                </a:schemeClr>
              </a:gs>
              <a:gs pos="100000">
                <a:schemeClr val="accent2">
                  <a:shade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847331583552E-3"/>
              <c:y val="1.39741907261592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hade val="66000"/>
                  <a:satMod val="103000"/>
                  <a:lumMod val="102000"/>
                  <a:tint val="94000"/>
                </a:schemeClr>
              </a:gs>
              <a:gs pos="50000">
                <a:schemeClr val="accent2">
                  <a:shade val="66000"/>
                  <a:satMod val="110000"/>
                  <a:lumMod val="100000"/>
                  <a:shade val="100000"/>
                </a:schemeClr>
              </a:gs>
              <a:gs pos="100000">
                <a:schemeClr val="accent2">
                  <a:shade val="6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7952755905511808E-3"/>
              <c:y val="-1.60305482648002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hade val="72000"/>
                  <a:satMod val="103000"/>
                  <a:lumMod val="102000"/>
                  <a:tint val="94000"/>
                </a:schemeClr>
              </a:gs>
              <a:gs pos="50000">
                <a:schemeClr val="accent2">
                  <a:shade val="72000"/>
                  <a:satMod val="110000"/>
                  <a:lumMod val="100000"/>
                  <a:shade val="100000"/>
                </a:schemeClr>
              </a:gs>
              <a:gs pos="100000">
                <a:schemeClr val="accent2">
                  <a:shade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hade val="78000"/>
                  <a:satMod val="103000"/>
                  <a:lumMod val="102000"/>
                  <a:tint val="94000"/>
                </a:schemeClr>
              </a:gs>
              <a:gs pos="50000">
                <a:schemeClr val="accent2">
                  <a:shade val="78000"/>
                  <a:satMod val="110000"/>
                  <a:lumMod val="100000"/>
                  <a:shade val="100000"/>
                </a:schemeClr>
              </a:gs>
              <a:gs pos="100000">
                <a:schemeClr val="accent2">
                  <a:shade val="7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2">
                  <a:shade val="84000"/>
                  <a:satMod val="103000"/>
                  <a:lumMod val="102000"/>
                  <a:tint val="94000"/>
                </a:schemeClr>
              </a:gs>
              <a:gs pos="50000">
                <a:schemeClr val="accent2">
                  <a:shade val="84000"/>
                  <a:satMod val="110000"/>
                  <a:lumMod val="100000"/>
                  <a:shade val="100000"/>
                </a:schemeClr>
              </a:gs>
              <a:gs pos="100000">
                <a:schemeClr val="accent2">
                  <a:shade val="8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2">
                  <a:shade val="96000"/>
                  <a:satMod val="103000"/>
                  <a:lumMod val="102000"/>
                  <a:tint val="94000"/>
                </a:schemeClr>
              </a:gs>
              <a:gs pos="50000">
                <a:schemeClr val="accent2">
                  <a:shade val="96000"/>
                  <a:satMod val="110000"/>
                  <a:lumMod val="100000"/>
                  <a:shade val="100000"/>
                </a:schemeClr>
              </a:gs>
              <a:gs pos="100000">
                <a:schemeClr val="accent2">
                  <a:shade val="9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2">
                  <a:tint val="97000"/>
                  <a:satMod val="103000"/>
                  <a:lumMod val="102000"/>
                  <a:tint val="94000"/>
                </a:schemeClr>
              </a:gs>
              <a:gs pos="50000">
                <a:schemeClr val="accent2">
                  <a:tint val="97000"/>
                  <a:satMod val="110000"/>
                  <a:lumMod val="100000"/>
                  <a:shade val="100000"/>
                </a:schemeClr>
              </a:gs>
              <a:gs pos="100000">
                <a:schemeClr val="accent2">
                  <a:tint val="9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2">
                  <a:tint val="91000"/>
                  <a:satMod val="103000"/>
                  <a:lumMod val="102000"/>
                  <a:tint val="94000"/>
                </a:schemeClr>
              </a:gs>
              <a:gs pos="50000">
                <a:schemeClr val="accent2">
                  <a:tint val="91000"/>
                  <a:satMod val="110000"/>
                  <a:lumMod val="100000"/>
                  <a:shade val="100000"/>
                </a:schemeClr>
              </a:gs>
              <a:gs pos="100000">
                <a:schemeClr val="accent2">
                  <a:tint val="91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2">
                  <a:tint val="85000"/>
                  <a:satMod val="103000"/>
                  <a:lumMod val="102000"/>
                  <a:tint val="94000"/>
                </a:schemeClr>
              </a:gs>
              <a:gs pos="50000">
                <a:schemeClr val="accent2">
                  <a:tint val="85000"/>
                  <a:satMod val="110000"/>
                  <a:lumMod val="100000"/>
                  <a:shade val="100000"/>
                </a:schemeClr>
              </a:gs>
              <a:gs pos="100000">
                <a:schemeClr val="accent2">
                  <a:tint val="8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2">
                  <a:tint val="79000"/>
                  <a:satMod val="103000"/>
                  <a:lumMod val="102000"/>
                  <a:tint val="94000"/>
                </a:schemeClr>
              </a:gs>
              <a:gs pos="50000">
                <a:schemeClr val="accent2">
                  <a:tint val="79000"/>
                  <a:satMod val="110000"/>
                  <a:lumMod val="100000"/>
                  <a:shade val="100000"/>
                </a:schemeClr>
              </a:gs>
              <a:gs pos="100000">
                <a:schemeClr val="accent2">
                  <a:tint val="79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2">
                  <a:tint val="73000"/>
                  <a:satMod val="103000"/>
                  <a:lumMod val="102000"/>
                  <a:tint val="94000"/>
                </a:schemeClr>
              </a:gs>
              <a:gs pos="50000">
                <a:schemeClr val="accent2">
                  <a:tint val="73000"/>
                  <a:satMod val="110000"/>
                  <a:lumMod val="100000"/>
                  <a:shade val="100000"/>
                </a:schemeClr>
              </a:gs>
              <a:gs pos="100000">
                <a:schemeClr val="accent2">
                  <a:tint val="7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700349956255467E-3"/>
              <c:y val="-7.595144356955380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tint val="67000"/>
                  <a:satMod val="103000"/>
                  <a:lumMod val="102000"/>
                  <a:tint val="94000"/>
                </a:schemeClr>
              </a:gs>
              <a:gs pos="50000">
                <a:schemeClr val="accent2">
                  <a:tint val="67000"/>
                  <a:satMod val="110000"/>
                  <a:lumMod val="100000"/>
                  <a:shade val="100000"/>
                </a:schemeClr>
              </a:gs>
              <a:gs pos="100000">
                <a:schemeClr val="accent2">
                  <a:tint val="6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428477690288714E-2"/>
              <c:y val="1.03346456692913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2">
                  <a:tint val="61000"/>
                  <a:satMod val="103000"/>
                  <a:lumMod val="102000"/>
                  <a:tint val="94000"/>
                </a:schemeClr>
              </a:gs>
              <a:gs pos="50000">
                <a:schemeClr val="accent2">
                  <a:tint val="61000"/>
                  <a:satMod val="110000"/>
                  <a:lumMod val="100000"/>
                  <a:shade val="100000"/>
                </a:schemeClr>
              </a:gs>
              <a:gs pos="100000">
                <a:schemeClr val="accent2">
                  <a:tint val="61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4297900262467195E-3"/>
              <c:y val="8.425925925925925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2">
                  <a:tint val="55000"/>
                  <a:satMod val="103000"/>
                  <a:lumMod val="102000"/>
                  <a:tint val="94000"/>
                </a:schemeClr>
              </a:gs>
              <a:gs pos="50000">
                <a:schemeClr val="accent2">
                  <a:tint val="55000"/>
                  <a:satMod val="110000"/>
                  <a:lumMod val="100000"/>
                  <a:shade val="100000"/>
                </a:schemeClr>
              </a:gs>
              <a:gs pos="100000">
                <a:schemeClr val="accent2">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2">
                  <a:tint val="49000"/>
                  <a:satMod val="103000"/>
                  <a:lumMod val="102000"/>
                  <a:tint val="94000"/>
                </a:schemeClr>
              </a:gs>
              <a:gs pos="50000">
                <a:schemeClr val="accent2">
                  <a:tint val="49000"/>
                  <a:satMod val="110000"/>
                  <a:lumMod val="100000"/>
                  <a:shade val="100000"/>
                </a:schemeClr>
              </a:gs>
              <a:gs pos="100000">
                <a:schemeClr val="accent2">
                  <a:tint val="49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2">
                  <a:tint val="43000"/>
                  <a:satMod val="103000"/>
                  <a:lumMod val="102000"/>
                  <a:tint val="94000"/>
                </a:schemeClr>
              </a:gs>
              <a:gs pos="50000">
                <a:schemeClr val="accent2">
                  <a:tint val="43000"/>
                  <a:satMod val="110000"/>
                  <a:lumMod val="100000"/>
                  <a:shade val="100000"/>
                </a:schemeClr>
              </a:gs>
              <a:gs pos="100000">
                <a:schemeClr val="accent2">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2">
                  <a:tint val="37000"/>
                  <a:satMod val="103000"/>
                  <a:lumMod val="102000"/>
                  <a:tint val="94000"/>
                </a:schemeClr>
              </a:gs>
              <a:gs pos="50000">
                <a:schemeClr val="accent2">
                  <a:tint val="37000"/>
                  <a:satMod val="110000"/>
                  <a:lumMod val="100000"/>
                  <a:shade val="100000"/>
                </a:schemeClr>
              </a:gs>
              <a:gs pos="100000">
                <a:schemeClr val="accent2">
                  <a:tint val="3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2">
                  <a:shade val="36000"/>
                  <a:satMod val="103000"/>
                  <a:lumMod val="102000"/>
                  <a:tint val="94000"/>
                </a:schemeClr>
              </a:gs>
              <a:gs pos="50000">
                <a:schemeClr val="accent2">
                  <a:shade val="36000"/>
                  <a:satMod val="110000"/>
                  <a:lumMod val="100000"/>
                  <a:shade val="100000"/>
                </a:schemeClr>
              </a:gs>
              <a:gs pos="100000">
                <a:schemeClr val="accent2">
                  <a:shade val="3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2">
                  <a:shade val="42000"/>
                  <a:satMod val="103000"/>
                  <a:lumMod val="102000"/>
                  <a:tint val="94000"/>
                </a:schemeClr>
              </a:gs>
              <a:gs pos="50000">
                <a:schemeClr val="accent2">
                  <a:shade val="42000"/>
                  <a:satMod val="110000"/>
                  <a:lumMod val="100000"/>
                  <a:shade val="100000"/>
                </a:schemeClr>
              </a:gs>
              <a:gs pos="100000">
                <a:schemeClr val="accent2">
                  <a:shade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2">
                  <a:shade val="48000"/>
                  <a:satMod val="103000"/>
                  <a:lumMod val="102000"/>
                  <a:tint val="94000"/>
                </a:schemeClr>
              </a:gs>
              <a:gs pos="50000">
                <a:schemeClr val="accent2">
                  <a:shade val="48000"/>
                  <a:satMod val="110000"/>
                  <a:lumMod val="100000"/>
                  <a:shade val="100000"/>
                </a:schemeClr>
              </a:gs>
              <a:gs pos="100000">
                <a:schemeClr val="accent2">
                  <a:shade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2">
                  <a:shade val="54000"/>
                  <a:satMod val="103000"/>
                  <a:lumMod val="102000"/>
                  <a:tint val="94000"/>
                </a:schemeClr>
              </a:gs>
              <a:gs pos="50000">
                <a:schemeClr val="accent2">
                  <a:shade val="54000"/>
                  <a:satMod val="110000"/>
                  <a:lumMod val="100000"/>
                  <a:shade val="100000"/>
                </a:schemeClr>
              </a:gs>
              <a:gs pos="100000">
                <a:schemeClr val="accent2">
                  <a:shade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2">
                  <a:shade val="60000"/>
                  <a:satMod val="103000"/>
                  <a:lumMod val="102000"/>
                  <a:tint val="94000"/>
                </a:schemeClr>
              </a:gs>
              <a:gs pos="50000">
                <a:schemeClr val="accent2">
                  <a:shade val="60000"/>
                  <a:satMod val="110000"/>
                  <a:lumMod val="100000"/>
                  <a:shade val="100000"/>
                </a:schemeClr>
              </a:gs>
              <a:gs pos="100000">
                <a:schemeClr val="accent2">
                  <a:shade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847331583552E-3"/>
              <c:y val="1.39741907261592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2">
                  <a:shade val="66000"/>
                  <a:satMod val="103000"/>
                  <a:lumMod val="102000"/>
                  <a:tint val="94000"/>
                </a:schemeClr>
              </a:gs>
              <a:gs pos="50000">
                <a:schemeClr val="accent2">
                  <a:shade val="66000"/>
                  <a:satMod val="110000"/>
                  <a:lumMod val="100000"/>
                  <a:shade val="100000"/>
                </a:schemeClr>
              </a:gs>
              <a:gs pos="100000">
                <a:schemeClr val="accent2">
                  <a:shade val="6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7952755905511808E-3"/>
              <c:y val="-1.60305482648002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2">
                  <a:shade val="72000"/>
                  <a:satMod val="103000"/>
                  <a:lumMod val="102000"/>
                  <a:tint val="94000"/>
                </a:schemeClr>
              </a:gs>
              <a:gs pos="50000">
                <a:schemeClr val="accent2">
                  <a:shade val="72000"/>
                  <a:satMod val="110000"/>
                  <a:lumMod val="100000"/>
                  <a:shade val="100000"/>
                </a:schemeClr>
              </a:gs>
              <a:gs pos="100000">
                <a:schemeClr val="accent2">
                  <a:shade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2">
                  <a:shade val="78000"/>
                  <a:satMod val="103000"/>
                  <a:lumMod val="102000"/>
                  <a:tint val="94000"/>
                </a:schemeClr>
              </a:gs>
              <a:gs pos="50000">
                <a:schemeClr val="accent2">
                  <a:shade val="78000"/>
                  <a:satMod val="110000"/>
                  <a:lumMod val="100000"/>
                  <a:shade val="100000"/>
                </a:schemeClr>
              </a:gs>
              <a:gs pos="100000">
                <a:schemeClr val="accent2">
                  <a:shade val="7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2">
                  <a:shade val="84000"/>
                  <a:satMod val="103000"/>
                  <a:lumMod val="102000"/>
                  <a:tint val="94000"/>
                </a:schemeClr>
              </a:gs>
              <a:gs pos="50000">
                <a:schemeClr val="accent2">
                  <a:shade val="84000"/>
                  <a:satMod val="110000"/>
                  <a:lumMod val="100000"/>
                  <a:shade val="100000"/>
                </a:schemeClr>
              </a:gs>
              <a:gs pos="100000">
                <a:schemeClr val="accent2">
                  <a:shade val="8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2">
                  <a:shade val="96000"/>
                  <a:satMod val="103000"/>
                  <a:lumMod val="102000"/>
                  <a:tint val="94000"/>
                </a:schemeClr>
              </a:gs>
              <a:gs pos="50000">
                <a:schemeClr val="accent2">
                  <a:shade val="96000"/>
                  <a:satMod val="110000"/>
                  <a:lumMod val="100000"/>
                  <a:shade val="100000"/>
                </a:schemeClr>
              </a:gs>
              <a:gs pos="100000">
                <a:schemeClr val="accent2">
                  <a:shade val="9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2">
                  <a:tint val="97000"/>
                  <a:satMod val="103000"/>
                  <a:lumMod val="102000"/>
                  <a:tint val="94000"/>
                </a:schemeClr>
              </a:gs>
              <a:gs pos="50000">
                <a:schemeClr val="accent2">
                  <a:tint val="97000"/>
                  <a:satMod val="110000"/>
                  <a:lumMod val="100000"/>
                  <a:shade val="100000"/>
                </a:schemeClr>
              </a:gs>
              <a:gs pos="100000">
                <a:schemeClr val="accent2">
                  <a:tint val="9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2">
                  <a:tint val="91000"/>
                  <a:satMod val="103000"/>
                  <a:lumMod val="102000"/>
                  <a:tint val="94000"/>
                </a:schemeClr>
              </a:gs>
              <a:gs pos="50000">
                <a:schemeClr val="accent2">
                  <a:tint val="91000"/>
                  <a:satMod val="110000"/>
                  <a:lumMod val="100000"/>
                  <a:shade val="100000"/>
                </a:schemeClr>
              </a:gs>
              <a:gs pos="100000">
                <a:schemeClr val="accent2">
                  <a:tint val="91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2">
                  <a:tint val="85000"/>
                  <a:satMod val="103000"/>
                  <a:lumMod val="102000"/>
                  <a:tint val="94000"/>
                </a:schemeClr>
              </a:gs>
              <a:gs pos="50000">
                <a:schemeClr val="accent2">
                  <a:tint val="85000"/>
                  <a:satMod val="110000"/>
                  <a:lumMod val="100000"/>
                  <a:shade val="100000"/>
                </a:schemeClr>
              </a:gs>
              <a:gs pos="100000">
                <a:schemeClr val="accent2">
                  <a:tint val="8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2">
                  <a:tint val="79000"/>
                  <a:satMod val="103000"/>
                  <a:lumMod val="102000"/>
                  <a:tint val="94000"/>
                </a:schemeClr>
              </a:gs>
              <a:gs pos="50000">
                <a:schemeClr val="accent2">
                  <a:tint val="79000"/>
                  <a:satMod val="110000"/>
                  <a:lumMod val="100000"/>
                  <a:shade val="100000"/>
                </a:schemeClr>
              </a:gs>
              <a:gs pos="100000">
                <a:schemeClr val="accent2">
                  <a:tint val="79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2">
                  <a:tint val="73000"/>
                  <a:satMod val="103000"/>
                  <a:lumMod val="102000"/>
                  <a:tint val="94000"/>
                </a:schemeClr>
              </a:gs>
              <a:gs pos="50000">
                <a:schemeClr val="accent2">
                  <a:tint val="73000"/>
                  <a:satMod val="110000"/>
                  <a:lumMod val="100000"/>
                  <a:shade val="100000"/>
                </a:schemeClr>
              </a:gs>
              <a:gs pos="100000">
                <a:schemeClr val="accent2">
                  <a:tint val="7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700349956255467E-3"/>
              <c:y val="-7.595144356955380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2">
                  <a:tint val="67000"/>
                  <a:satMod val="103000"/>
                  <a:lumMod val="102000"/>
                  <a:tint val="94000"/>
                </a:schemeClr>
              </a:gs>
              <a:gs pos="50000">
                <a:schemeClr val="accent2">
                  <a:tint val="67000"/>
                  <a:satMod val="110000"/>
                  <a:lumMod val="100000"/>
                  <a:shade val="100000"/>
                </a:schemeClr>
              </a:gs>
              <a:gs pos="100000">
                <a:schemeClr val="accent2">
                  <a:tint val="6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428477690288714E-2"/>
              <c:y val="1.03346456692913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2">
                  <a:tint val="61000"/>
                  <a:satMod val="103000"/>
                  <a:lumMod val="102000"/>
                  <a:tint val="94000"/>
                </a:schemeClr>
              </a:gs>
              <a:gs pos="50000">
                <a:schemeClr val="accent2">
                  <a:tint val="61000"/>
                  <a:satMod val="110000"/>
                  <a:lumMod val="100000"/>
                  <a:shade val="100000"/>
                </a:schemeClr>
              </a:gs>
              <a:gs pos="100000">
                <a:schemeClr val="accent2">
                  <a:tint val="61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4297900262467195E-3"/>
              <c:y val="8.425925925925925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2">
                  <a:tint val="55000"/>
                  <a:satMod val="103000"/>
                  <a:lumMod val="102000"/>
                  <a:tint val="94000"/>
                </a:schemeClr>
              </a:gs>
              <a:gs pos="50000">
                <a:schemeClr val="accent2">
                  <a:tint val="55000"/>
                  <a:satMod val="110000"/>
                  <a:lumMod val="100000"/>
                  <a:shade val="100000"/>
                </a:schemeClr>
              </a:gs>
              <a:gs pos="100000">
                <a:schemeClr val="accent2">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2">
                  <a:tint val="49000"/>
                  <a:satMod val="103000"/>
                  <a:lumMod val="102000"/>
                  <a:tint val="94000"/>
                </a:schemeClr>
              </a:gs>
              <a:gs pos="50000">
                <a:schemeClr val="accent2">
                  <a:tint val="49000"/>
                  <a:satMod val="110000"/>
                  <a:lumMod val="100000"/>
                  <a:shade val="100000"/>
                </a:schemeClr>
              </a:gs>
              <a:gs pos="100000">
                <a:schemeClr val="accent2">
                  <a:tint val="49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2">
                  <a:tint val="43000"/>
                  <a:satMod val="103000"/>
                  <a:lumMod val="102000"/>
                  <a:tint val="94000"/>
                </a:schemeClr>
              </a:gs>
              <a:gs pos="50000">
                <a:schemeClr val="accent2">
                  <a:tint val="43000"/>
                  <a:satMod val="110000"/>
                  <a:lumMod val="100000"/>
                  <a:shade val="100000"/>
                </a:schemeClr>
              </a:gs>
              <a:gs pos="100000">
                <a:schemeClr val="accent2">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2">
                  <a:tint val="37000"/>
                  <a:satMod val="103000"/>
                  <a:lumMod val="102000"/>
                  <a:tint val="94000"/>
                </a:schemeClr>
              </a:gs>
              <a:gs pos="50000">
                <a:schemeClr val="accent2">
                  <a:tint val="37000"/>
                  <a:satMod val="110000"/>
                  <a:lumMod val="100000"/>
                  <a:shade val="100000"/>
                </a:schemeClr>
              </a:gs>
              <a:gs pos="100000">
                <a:schemeClr val="accent2">
                  <a:tint val="3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table'!$H$3</c:f>
              <c:strCache>
                <c:ptCount val="1"/>
                <c:pt idx="0">
                  <c:v>Total</c:v>
                </c:pt>
              </c:strCache>
            </c:strRef>
          </c:tx>
          <c:dPt>
            <c:idx val="0"/>
            <c:bubble3D val="0"/>
            <c:spPr>
              <a:gradFill rotWithShape="1">
                <a:gsLst>
                  <a:gs pos="0">
                    <a:schemeClr val="accent2">
                      <a:shade val="36000"/>
                      <a:satMod val="103000"/>
                      <a:lumMod val="102000"/>
                      <a:tint val="94000"/>
                    </a:schemeClr>
                  </a:gs>
                  <a:gs pos="50000">
                    <a:schemeClr val="accent2">
                      <a:shade val="36000"/>
                      <a:satMod val="110000"/>
                      <a:lumMod val="100000"/>
                      <a:shade val="100000"/>
                    </a:schemeClr>
                  </a:gs>
                  <a:gs pos="100000">
                    <a:schemeClr val="accent2">
                      <a:shade val="3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2CA-4665-A20F-572A7E9FF6CC}"/>
              </c:ext>
            </c:extLst>
          </c:dPt>
          <c:dPt>
            <c:idx val="1"/>
            <c:bubble3D val="0"/>
            <c:spPr>
              <a:gradFill rotWithShape="1">
                <a:gsLst>
                  <a:gs pos="0">
                    <a:schemeClr val="accent2">
                      <a:shade val="42000"/>
                      <a:satMod val="103000"/>
                      <a:lumMod val="102000"/>
                      <a:tint val="94000"/>
                    </a:schemeClr>
                  </a:gs>
                  <a:gs pos="50000">
                    <a:schemeClr val="accent2">
                      <a:shade val="42000"/>
                      <a:satMod val="110000"/>
                      <a:lumMod val="100000"/>
                      <a:shade val="100000"/>
                    </a:schemeClr>
                  </a:gs>
                  <a:gs pos="100000">
                    <a:schemeClr val="accent2">
                      <a:shade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2CA-4665-A20F-572A7E9FF6CC}"/>
              </c:ext>
            </c:extLst>
          </c:dPt>
          <c:dPt>
            <c:idx val="2"/>
            <c:bubble3D val="0"/>
            <c:spPr>
              <a:gradFill rotWithShape="1">
                <a:gsLst>
                  <a:gs pos="0">
                    <a:schemeClr val="accent2">
                      <a:shade val="48000"/>
                      <a:satMod val="103000"/>
                      <a:lumMod val="102000"/>
                      <a:tint val="94000"/>
                    </a:schemeClr>
                  </a:gs>
                  <a:gs pos="50000">
                    <a:schemeClr val="accent2">
                      <a:shade val="48000"/>
                      <a:satMod val="110000"/>
                      <a:lumMod val="100000"/>
                      <a:shade val="100000"/>
                    </a:schemeClr>
                  </a:gs>
                  <a:gs pos="100000">
                    <a:schemeClr val="accent2">
                      <a:shade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2CA-4665-A20F-572A7E9FF6CC}"/>
              </c:ext>
            </c:extLst>
          </c:dPt>
          <c:dPt>
            <c:idx val="3"/>
            <c:bubble3D val="0"/>
            <c:spPr>
              <a:gradFill rotWithShape="1">
                <a:gsLst>
                  <a:gs pos="0">
                    <a:schemeClr val="accent2">
                      <a:shade val="54000"/>
                      <a:satMod val="103000"/>
                      <a:lumMod val="102000"/>
                      <a:tint val="94000"/>
                    </a:schemeClr>
                  </a:gs>
                  <a:gs pos="50000">
                    <a:schemeClr val="accent2">
                      <a:shade val="54000"/>
                      <a:satMod val="110000"/>
                      <a:lumMod val="100000"/>
                      <a:shade val="100000"/>
                    </a:schemeClr>
                  </a:gs>
                  <a:gs pos="100000">
                    <a:schemeClr val="accent2">
                      <a:shade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2CA-4665-A20F-572A7E9FF6CC}"/>
              </c:ext>
            </c:extLst>
          </c:dPt>
          <c:dPt>
            <c:idx val="4"/>
            <c:bubble3D val="0"/>
            <c:spPr>
              <a:gradFill rotWithShape="1">
                <a:gsLst>
                  <a:gs pos="0">
                    <a:schemeClr val="accent2">
                      <a:shade val="60000"/>
                      <a:satMod val="103000"/>
                      <a:lumMod val="102000"/>
                      <a:tint val="94000"/>
                    </a:schemeClr>
                  </a:gs>
                  <a:gs pos="50000">
                    <a:schemeClr val="accent2">
                      <a:shade val="60000"/>
                      <a:satMod val="110000"/>
                      <a:lumMod val="100000"/>
                      <a:shade val="100000"/>
                    </a:schemeClr>
                  </a:gs>
                  <a:gs pos="100000">
                    <a:schemeClr val="accent2">
                      <a:shade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2CA-4665-A20F-572A7E9FF6CC}"/>
              </c:ext>
            </c:extLst>
          </c:dPt>
          <c:dPt>
            <c:idx val="5"/>
            <c:bubble3D val="0"/>
            <c:spPr>
              <a:gradFill rotWithShape="1">
                <a:gsLst>
                  <a:gs pos="0">
                    <a:schemeClr val="accent2">
                      <a:shade val="66000"/>
                      <a:satMod val="103000"/>
                      <a:lumMod val="102000"/>
                      <a:tint val="94000"/>
                    </a:schemeClr>
                  </a:gs>
                  <a:gs pos="50000">
                    <a:schemeClr val="accent2">
                      <a:shade val="66000"/>
                      <a:satMod val="110000"/>
                      <a:lumMod val="100000"/>
                      <a:shade val="100000"/>
                    </a:schemeClr>
                  </a:gs>
                  <a:gs pos="100000">
                    <a:schemeClr val="accent2">
                      <a:shade val="6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2CA-4665-A20F-572A7E9FF6CC}"/>
              </c:ext>
            </c:extLst>
          </c:dPt>
          <c:dPt>
            <c:idx val="6"/>
            <c:bubble3D val="0"/>
            <c:spPr>
              <a:gradFill rotWithShape="1">
                <a:gsLst>
                  <a:gs pos="0">
                    <a:schemeClr val="accent2">
                      <a:shade val="72000"/>
                      <a:satMod val="103000"/>
                      <a:lumMod val="102000"/>
                      <a:tint val="94000"/>
                    </a:schemeClr>
                  </a:gs>
                  <a:gs pos="50000">
                    <a:schemeClr val="accent2">
                      <a:shade val="72000"/>
                      <a:satMod val="110000"/>
                      <a:lumMod val="100000"/>
                      <a:shade val="100000"/>
                    </a:schemeClr>
                  </a:gs>
                  <a:gs pos="100000">
                    <a:schemeClr val="accent2">
                      <a:shade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42CA-4665-A20F-572A7E9FF6CC}"/>
              </c:ext>
            </c:extLst>
          </c:dPt>
          <c:dPt>
            <c:idx val="7"/>
            <c:bubble3D val="0"/>
            <c:spPr>
              <a:gradFill rotWithShape="1">
                <a:gsLst>
                  <a:gs pos="0">
                    <a:schemeClr val="accent2">
                      <a:shade val="78000"/>
                      <a:satMod val="103000"/>
                      <a:lumMod val="102000"/>
                      <a:tint val="94000"/>
                    </a:schemeClr>
                  </a:gs>
                  <a:gs pos="50000">
                    <a:schemeClr val="accent2">
                      <a:shade val="78000"/>
                      <a:satMod val="110000"/>
                      <a:lumMod val="100000"/>
                      <a:shade val="100000"/>
                    </a:schemeClr>
                  </a:gs>
                  <a:gs pos="100000">
                    <a:schemeClr val="accent2">
                      <a:shade val="7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42CA-4665-A20F-572A7E9FF6CC}"/>
              </c:ext>
            </c:extLst>
          </c:dPt>
          <c:dPt>
            <c:idx val="8"/>
            <c:bubble3D val="0"/>
            <c:spPr>
              <a:gradFill rotWithShape="1">
                <a:gsLst>
                  <a:gs pos="0">
                    <a:schemeClr val="accent2">
                      <a:shade val="84000"/>
                      <a:satMod val="103000"/>
                      <a:lumMod val="102000"/>
                      <a:tint val="94000"/>
                    </a:schemeClr>
                  </a:gs>
                  <a:gs pos="50000">
                    <a:schemeClr val="accent2">
                      <a:shade val="84000"/>
                      <a:satMod val="110000"/>
                      <a:lumMod val="100000"/>
                      <a:shade val="100000"/>
                    </a:schemeClr>
                  </a:gs>
                  <a:gs pos="100000">
                    <a:schemeClr val="accent2">
                      <a:shade val="8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42CA-4665-A20F-572A7E9FF6CC}"/>
              </c:ext>
            </c:extLst>
          </c:dPt>
          <c:dPt>
            <c:idx val="9"/>
            <c:bubble3D val="0"/>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42CA-4665-A20F-572A7E9FF6CC}"/>
              </c:ext>
            </c:extLst>
          </c:dPt>
          <c:dPt>
            <c:idx val="10"/>
            <c:bubble3D val="0"/>
            <c:spPr>
              <a:gradFill rotWithShape="1">
                <a:gsLst>
                  <a:gs pos="0">
                    <a:schemeClr val="accent2">
                      <a:shade val="96000"/>
                      <a:satMod val="103000"/>
                      <a:lumMod val="102000"/>
                      <a:tint val="94000"/>
                    </a:schemeClr>
                  </a:gs>
                  <a:gs pos="50000">
                    <a:schemeClr val="accent2">
                      <a:shade val="96000"/>
                      <a:satMod val="110000"/>
                      <a:lumMod val="100000"/>
                      <a:shade val="100000"/>
                    </a:schemeClr>
                  </a:gs>
                  <a:gs pos="100000">
                    <a:schemeClr val="accent2">
                      <a:shade val="9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42CA-4665-A20F-572A7E9FF6CC}"/>
              </c:ext>
            </c:extLst>
          </c:dPt>
          <c:dPt>
            <c:idx val="11"/>
            <c:bubble3D val="0"/>
            <c:spPr>
              <a:gradFill rotWithShape="1">
                <a:gsLst>
                  <a:gs pos="0">
                    <a:schemeClr val="accent2">
                      <a:tint val="97000"/>
                      <a:satMod val="103000"/>
                      <a:lumMod val="102000"/>
                      <a:tint val="94000"/>
                    </a:schemeClr>
                  </a:gs>
                  <a:gs pos="50000">
                    <a:schemeClr val="accent2">
                      <a:tint val="97000"/>
                      <a:satMod val="110000"/>
                      <a:lumMod val="100000"/>
                      <a:shade val="100000"/>
                    </a:schemeClr>
                  </a:gs>
                  <a:gs pos="100000">
                    <a:schemeClr val="accent2">
                      <a:tint val="9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42CA-4665-A20F-572A7E9FF6CC}"/>
              </c:ext>
            </c:extLst>
          </c:dPt>
          <c:dPt>
            <c:idx val="12"/>
            <c:bubble3D val="0"/>
            <c:spPr>
              <a:gradFill rotWithShape="1">
                <a:gsLst>
                  <a:gs pos="0">
                    <a:schemeClr val="accent2">
                      <a:tint val="91000"/>
                      <a:satMod val="103000"/>
                      <a:lumMod val="102000"/>
                      <a:tint val="94000"/>
                    </a:schemeClr>
                  </a:gs>
                  <a:gs pos="50000">
                    <a:schemeClr val="accent2">
                      <a:tint val="91000"/>
                      <a:satMod val="110000"/>
                      <a:lumMod val="100000"/>
                      <a:shade val="100000"/>
                    </a:schemeClr>
                  </a:gs>
                  <a:gs pos="100000">
                    <a:schemeClr val="accent2">
                      <a:tint val="91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42CA-4665-A20F-572A7E9FF6CC}"/>
              </c:ext>
            </c:extLst>
          </c:dPt>
          <c:dPt>
            <c:idx val="13"/>
            <c:bubble3D val="0"/>
            <c:spPr>
              <a:gradFill rotWithShape="1">
                <a:gsLst>
                  <a:gs pos="0">
                    <a:schemeClr val="accent2">
                      <a:tint val="85000"/>
                      <a:satMod val="103000"/>
                      <a:lumMod val="102000"/>
                      <a:tint val="94000"/>
                    </a:schemeClr>
                  </a:gs>
                  <a:gs pos="50000">
                    <a:schemeClr val="accent2">
                      <a:tint val="85000"/>
                      <a:satMod val="110000"/>
                      <a:lumMod val="100000"/>
                      <a:shade val="100000"/>
                    </a:schemeClr>
                  </a:gs>
                  <a:gs pos="100000">
                    <a:schemeClr val="accent2">
                      <a:tint val="8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42CA-4665-A20F-572A7E9FF6CC}"/>
              </c:ext>
            </c:extLst>
          </c:dPt>
          <c:dPt>
            <c:idx val="14"/>
            <c:bubble3D val="0"/>
            <c:spPr>
              <a:gradFill rotWithShape="1">
                <a:gsLst>
                  <a:gs pos="0">
                    <a:schemeClr val="accent2">
                      <a:tint val="79000"/>
                      <a:satMod val="103000"/>
                      <a:lumMod val="102000"/>
                      <a:tint val="94000"/>
                    </a:schemeClr>
                  </a:gs>
                  <a:gs pos="50000">
                    <a:schemeClr val="accent2">
                      <a:tint val="79000"/>
                      <a:satMod val="110000"/>
                      <a:lumMod val="100000"/>
                      <a:shade val="100000"/>
                    </a:schemeClr>
                  </a:gs>
                  <a:gs pos="100000">
                    <a:schemeClr val="accent2">
                      <a:tint val="79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42CA-4665-A20F-572A7E9FF6CC}"/>
              </c:ext>
            </c:extLst>
          </c:dPt>
          <c:dPt>
            <c:idx val="15"/>
            <c:bubble3D val="0"/>
            <c:spPr>
              <a:gradFill rotWithShape="1">
                <a:gsLst>
                  <a:gs pos="0">
                    <a:schemeClr val="accent2">
                      <a:tint val="73000"/>
                      <a:satMod val="103000"/>
                      <a:lumMod val="102000"/>
                      <a:tint val="94000"/>
                    </a:schemeClr>
                  </a:gs>
                  <a:gs pos="50000">
                    <a:schemeClr val="accent2">
                      <a:tint val="73000"/>
                      <a:satMod val="110000"/>
                      <a:lumMod val="100000"/>
                      <a:shade val="100000"/>
                    </a:schemeClr>
                  </a:gs>
                  <a:gs pos="100000">
                    <a:schemeClr val="accent2">
                      <a:tint val="7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42CA-4665-A20F-572A7E9FF6CC}"/>
              </c:ext>
            </c:extLst>
          </c:dPt>
          <c:dPt>
            <c:idx val="16"/>
            <c:bubble3D val="0"/>
            <c:spPr>
              <a:gradFill rotWithShape="1">
                <a:gsLst>
                  <a:gs pos="0">
                    <a:schemeClr val="accent2">
                      <a:tint val="67000"/>
                      <a:satMod val="103000"/>
                      <a:lumMod val="102000"/>
                      <a:tint val="94000"/>
                    </a:schemeClr>
                  </a:gs>
                  <a:gs pos="50000">
                    <a:schemeClr val="accent2">
                      <a:tint val="67000"/>
                      <a:satMod val="110000"/>
                      <a:lumMod val="100000"/>
                      <a:shade val="100000"/>
                    </a:schemeClr>
                  </a:gs>
                  <a:gs pos="100000">
                    <a:schemeClr val="accent2">
                      <a:tint val="6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42CA-4665-A20F-572A7E9FF6CC}"/>
              </c:ext>
            </c:extLst>
          </c:dPt>
          <c:dPt>
            <c:idx val="17"/>
            <c:bubble3D val="0"/>
            <c:spPr>
              <a:gradFill rotWithShape="1">
                <a:gsLst>
                  <a:gs pos="0">
                    <a:schemeClr val="accent2">
                      <a:tint val="61000"/>
                      <a:satMod val="103000"/>
                      <a:lumMod val="102000"/>
                      <a:tint val="94000"/>
                    </a:schemeClr>
                  </a:gs>
                  <a:gs pos="50000">
                    <a:schemeClr val="accent2">
                      <a:tint val="61000"/>
                      <a:satMod val="110000"/>
                      <a:lumMod val="100000"/>
                      <a:shade val="100000"/>
                    </a:schemeClr>
                  </a:gs>
                  <a:gs pos="100000">
                    <a:schemeClr val="accent2">
                      <a:tint val="61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42CA-4665-A20F-572A7E9FF6CC}"/>
              </c:ext>
            </c:extLst>
          </c:dPt>
          <c:dPt>
            <c:idx val="18"/>
            <c:bubble3D val="0"/>
            <c:spPr>
              <a:gradFill rotWithShape="1">
                <a:gsLst>
                  <a:gs pos="0">
                    <a:schemeClr val="accent2">
                      <a:tint val="55000"/>
                      <a:satMod val="103000"/>
                      <a:lumMod val="102000"/>
                      <a:tint val="94000"/>
                    </a:schemeClr>
                  </a:gs>
                  <a:gs pos="50000">
                    <a:schemeClr val="accent2">
                      <a:tint val="55000"/>
                      <a:satMod val="110000"/>
                      <a:lumMod val="100000"/>
                      <a:shade val="100000"/>
                    </a:schemeClr>
                  </a:gs>
                  <a:gs pos="100000">
                    <a:schemeClr val="accent2">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42CA-4665-A20F-572A7E9FF6CC}"/>
              </c:ext>
            </c:extLst>
          </c:dPt>
          <c:dPt>
            <c:idx val="19"/>
            <c:bubble3D val="0"/>
            <c:spPr>
              <a:gradFill rotWithShape="1">
                <a:gsLst>
                  <a:gs pos="0">
                    <a:schemeClr val="accent2">
                      <a:tint val="49000"/>
                      <a:satMod val="103000"/>
                      <a:lumMod val="102000"/>
                      <a:tint val="94000"/>
                    </a:schemeClr>
                  </a:gs>
                  <a:gs pos="50000">
                    <a:schemeClr val="accent2">
                      <a:tint val="49000"/>
                      <a:satMod val="110000"/>
                      <a:lumMod val="100000"/>
                      <a:shade val="100000"/>
                    </a:schemeClr>
                  </a:gs>
                  <a:gs pos="100000">
                    <a:schemeClr val="accent2">
                      <a:tint val="49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42CA-4665-A20F-572A7E9FF6CC}"/>
              </c:ext>
            </c:extLst>
          </c:dPt>
          <c:dPt>
            <c:idx val="20"/>
            <c:bubble3D val="0"/>
            <c:spPr>
              <a:gradFill rotWithShape="1">
                <a:gsLst>
                  <a:gs pos="0">
                    <a:schemeClr val="accent2">
                      <a:tint val="43000"/>
                      <a:satMod val="103000"/>
                      <a:lumMod val="102000"/>
                      <a:tint val="94000"/>
                    </a:schemeClr>
                  </a:gs>
                  <a:gs pos="50000">
                    <a:schemeClr val="accent2">
                      <a:tint val="43000"/>
                      <a:satMod val="110000"/>
                      <a:lumMod val="100000"/>
                      <a:shade val="100000"/>
                    </a:schemeClr>
                  </a:gs>
                  <a:gs pos="100000">
                    <a:schemeClr val="accent2">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42CA-4665-A20F-572A7E9FF6CC}"/>
              </c:ext>
            </c:extLst>
          </c:dPt>
          <c:dPt>
            <c:idx val="21"/>
            <c:bubble3D val="0"/>
            <c:spPr>
              <a:gradFill rotWithShape="1">
                <a:gsLst>
                  <a:gs pos="0">
                    <a:schemeClr val="accent2">
                      <a:tint val="37000"/>
                      <a:satMod val="103000"/>
                      <a:lumMod val="102000"/>
                      <a:tint val="94000"/>
                    </a:schemeClr>
                  </a:gs>
                  <a:gs pos="50000">
                    <a:schemeClr val="accent2">
                      <a:tint val="37000"/>
                      <a:satMod val="110000"/>
                      <a:lumMod val="100000"/>
                      <a:shade val="100000"/>
                    </a:schemeClr>
                  </a:gs>
                  <a:gs pos="100000">
                    <a:schemeClr val="accent2">
                      <a:tint val="3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42CA-4665-A20F-572A7E9FF6CC}"/>
              </c:ext>
            </c:extLst>
          </c:dPt>
          <c:dLbls>
            <c:dLbl>
              <c:idx val="4"/>
              <c:layout>
                <c:manualLayout>
                  <c:x val="8.33847331583552E-3"/>
                  <c:y val="1.397419072615923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2CA-4665-A20F-572A7E9FF6CC}"/>
                </c:ext>
              </c:extLst>
            </c:dLbl>
            <c:dLbl>
              <c:idx val="5"/>
              <c:layout>
                <c:manualLayout>
                  <c:x val="7.7952755905511808E-3"/>
                  <c:y val="-1.603054826480023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2CA-4665-A20F-572A7E9FF6CC}"/>
                </c:ext>
              </c:extLst>
            </c:dLbl>
            <c:dLbl>
              <c:idx val="15"/>
              <c:layout>
                <c:manualLayout>
                  <c:x val="-2.9700349956255467E-3"/>
                  <c:y val="-7.595144356955380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42CA-4665-A20F-572A7E9FF6CC}"/>
                </c:ext>
              </c:extLst>
            </c:dLbl>
            <c:dLbl>
              <c:idx val="16"/>
              <c:layout>
                <c:manualLayout>
                  <c:x val="-1.1428477690288714E-2"/>
                  <c:y val="1.033464566929133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42CA-4665-A20F-572A7E9FF6CC}"/>
                </c:ext>
              </c:extLst>
            </c:dLbl>
            <c:dLbl>
              <c:idx val="17"/>
              <c:layout>
                <c:manualLayout>
                  <c:x val="-5.4297900262467195E-3"/>
                  <c:y val="8.425925925925925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42CA-4665-A20F-572A7E9FF6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table'!$G$4:$G$26</c:f>
              <c:strCache>
                <c:ptCount val="22"/>
                <c:pt idx="0">
                  <c:v>CSE101</c:v>
                </c:pt>
                <c:pt idx="1">
                  <c:v>CSE102</c:v>
                </c:pt>
                <c:pt idx="2">
                  <c:v>CSE106</c:v>
                </c:pt>
                <c:pt idx="3">
                  <c:v>CSE107</c:v>
                </c:pt>
                <c:pt idx="4">
                  <c:v>CSE121</c:v>
                </c:pt>
                <c:pt idx="5">
                  <c:v>ECE103</c:v>
                </c:pt>
                <c:pt idx="6">
                  <c:v>ECE104</c:v>
                </c:pt>
                <c:pt idx="7">
                  <c:v>ECE108</c:v>
                </c:pt>
                <c:pt idx="8">
                  <c:v>ECE109</c:v>
                </c:pt>
                <c:pt idx="9">
                  <c:v>ECE123</c:v>
                </c:pt>
                <c:pt idx="10">
                  <c:v>EEE104</c:v>
                </c:pt>
                <c:pt idx="11">
                  <c:v>EEE105</c:v>
                </c:pt>
                <c:pt idx="12">
                  <c:v>EEE109</c:v>
                </c:pt>
                <c:pt idx="13">
                  <c:v>EEE110</c:v>
                </c:pt>
                <c:pt idx="14">
                  <c:v>EEE124</c:v>
                </c:pt>
                <c:pt idx="15">
                  <c:v>IT102</c:v>
                </c:pt>
                <c:pt idx="16">
                  <c:v>IT103</c:v>
                </c:pt>
                <c:pt idx="17">
                  <c:v>IT107</c:v>
                </c:pt>
                <c:pt idx="18">
                  <c:v>IT108</c:v>
                </c:pt>
                <c:pt idx="19">
                  <c:v>IT122</c:v>
                </c:pt>
                <c:pt idx="20">
                  <c:v>ME105</c:v>
                </c:pt>
                <c:pt idx="21">
                  <c:v>ME106</c:v>
                </c:pt>
              </c:strCache>
            </c:strRef>
          </c:cat>
          <c:val>
            <c:numRef>
              <c:f>'pivot table'!$H$4:$H$26</c:f>
              <c:numCache>
                <c:formatCode>0.00</c:formatCode>
                <c:ptCount val="22"/>
                <c:pt idx="0">
                  <c:v>0.94</c:v>
                </c:pt>
                <c:pt idx="1">
                  <c:v>0.80444444444444496</c:v>
                </c:pt>
                <c:pt idx="2">
                  <c:v>0.98</c:v>
                </c:pt>
                <c:pt idx="3">
                  <c:v>0.72777777777777797</c:v>
                </c:pt>
                <c:pt idx="4">
                  <c:v>0.94</c:v>
                </c:pt>
                <c:pt idx="5">
                  <c:v>0.88</c:v>
                </c:pt>
                <c:pt idx="6">
                  <c:v>0.77377777777777801</c:v>
                </c:pt>
                <c:pt idx="7">
                  <c:v>0.7</c:v>
                </c:pt>
                <c:pt idx="8">
                  <c:v>0.69711111111111201</c:v>
                </c:pt>
                <c:pt idx="9">
                  <c:v>0.88</c:v>
                </c:pt>
                <c:pt idx="10">
                  <c:v>0.95</c:v>
                </c:pt>
                <c:pt idx="11">
                  <c:v>0.75844444444444403</c:v>
                </c:pt>
                <c:pt idx="12">
                  <c:v>0.85</c:v>
                </c:pt>
                <c:pt idx="13">
                  <c:v>0.68177777777777804</c:v>
                </c:pt>
                <c:pt idx="14">
                  <c:v>0.6</c:v>
                </c:pt>
                <c:pt idx="15">
                  <c:v>0.91</c:v>
                </c:pt>
                <c:pt idx="16">
                  <c:v>0.78911111111111198</c:v>
                </c:pt>
                <c:pt idx="17">
                  <c:v>0.9</c:v>
                </c:pt>
                <c:pt idx="18">
                  <c:v>0.71244444444444499</c:v>
                </c:pt>
                <c:pt idx="19">
                  <c:v>0.78</c:v>
                </c:pt>
                <c:pt idx="20">
                  <c:v>0.82</c:v>
                </c:pt>
                <c:pt idx="21">
                  <c:v>0.74311111111111094</c:v>
                </c:pt>
              </c:numCache>
            </c:numRef>
          </c:val>
          <c:extLst>
            <c:ext xmlns:c16="http://schemas.microsoft.com/office/drawing/2014/chart" uri="{C3380CC4-5D6E-409C-BE32-E72D297353CC}">
              <c16:uniqueId val="{0000002C-42CA-4665-A20F-572A7E9FF6C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[Clg Result dashboard.xlsx]pivot table!PivotTable3</c:name>
    <c:fmtId val="2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9629629629629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94444444444444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925337632079971E-17"/>
              <c:y val="-0.226851851851851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245E-3"/>
              <c:y val="-0.2662037037037037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9194444444444428E-2"/>
                  <c:h val="7.4004811898512671E-2"/>
                </c:manualLayout>
              </c15:layout>
            </c:ext>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254629629629629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000000000000001E-2"/>
              <c:y val="-0.1712962962962963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3638888888888893E-2"/>
                  <c:h val="7.4004811898512685E-2"/>
                </c:manualLayout>
              </c15:layout>
            </c:ext>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9629629629629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94444444444444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925337632079971E-17"/>
              <c:y val="-0.226851851851851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245E-3"/>
              <c:y val="-0.2662037037037037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9194444444444428E-2"/>
                  <c:h val="7.4004811898512671E-2"/>
                </c:manualLayout>
              </c15:layout>
            </c:ext>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254629629629629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000000000000001E-2"/>
              <c:y val="-0.1712962962962963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3638888888888893E-2"/>
                  <c:h val="7.4004811898512685E-2"/>
                </c:manualLayout>
              </c15:layout>
            </c:ext>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9629629629629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94444444444444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925337632079971E-17"/>
              <c:y val="-0.226851851851851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245E-3"/>
              <c:y val="-0.2662037037037037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9194444444444428E-2"/>
                  <c:h val="7.4004811898512671E-2"/>
                </c:manualLayout>
              </c15:layout>
            </c:ext>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254629629629629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000000000000001E-2"/>
              <c:y val="-0.1712962962962963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3638888888888893E-2"/>
                  <c:h val="7.4004811898512685E-2"/>
                </c:manualLayout>
              </c15:layout>
            </c:ext>
          </c:extLst>
        </c:dLbl>
      </c:pivotFmt>
    </c:pivotFmts>
    <c:plotArea>
      <c:layout/>
      <c:areaChart>
        <c:grouping val="stacked"/>
        <c:varyColors val="0"/>
        <c:ser>
          <c:idx val="0"/>
          <c:order val="0"/>
          <c:tx>
            <c:strRef>
              <c:f>'pivot table'!$E$3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idx val="0"/>
            <c:bubble3D val="0"/>
            <c:extLst>
              <c:ext xmlns:c16="http://schemas.microsoft.com/office/drawing/2014/chart" uri="{C3380CC4-5D6E-409C-BE32-E72D297353CC}">
                <c16:uniqueId val="{00000000-9E2F-4A10-8EB4-7513D6812BB8}"/>
              </c:ext>
            </c:extLst>
          </c:dPt>
          <c:dPt>
            <c:idx val="1"/>
            <c:bubble3D val="0"/>
            <c:extLst>
              <c:ext xmlns:c16="http://schemas.microsoft.com/office/drawing/2014/chart" uri="{C3380CC4-5D6E-409C-BE32-E72D297353CC}">
                <c16:uniqueId val="{00000001-9E2F-4A10-8EB4-7513D6812BB8}"/>
              </c:ext>
            </c:extLst>
          </c:dPt>
          <c:dPt>
            <c:idx val="2"/>
            <c:bubble3D val="0"/>
            <c:extLst>
              <c:ext xmlns:c16="http://schemas.microsoft.com/office/drawing/2014/chart" uri="{C3380CC4-5D6E-409C-BE32-E72D297353CC}">
                <c16:uniqueId val="{00000002-9E2F-4A10-8EB4-7513D6812BB8}"/>
              </c:ext>
            </c:extLst>
          </c:dPt>
          <c:dPt>
            <c:idx val="3"/>
            <c:bubble3D val="0"/>
            <c:extLst>
              <c:ext xmlns:c16="http://schemas.microsoft.com/office/drawing/2014/chart" uri="{C3380CC4-5D6E-409C-BE32-E72D297353CC}">
                <c16:uniqueId val="{00000003-9E2F-4A10-8EB4-7513D6812BB8}"/>
              </c:ext>
            </c:extLst>
          </c:dPt>
          <c:dPt>
            <c:idx val="4"/>
            <c:bubble3D val="0"/>
            <c:extLst>
              <c:ext xmlns:c16="http://schemas.microsoft.com/office/drawing/2014/chart" uri="{C3380CC4-5D6E-409C-BE32-E72D297353CC}">
                <c16:uniqueId val="{00000004-9E2F-4A10-8EB4-7513D6812BB8}"/>
              </c:ext>
            </c:extLst>
          </c:dPt>
          <c:dPt>
            <c:idx val="5"/>
            <c:bubble3D val="0"/>
            <c:extLst>
              <c:ext xmlns:c16="http://schemas.microsoft.com/office/drawing/2014/chart" uri="{C3380CC4-5D6E-409C-BE32-E72D297353CC}">
                <c16:uniqueId val="{00000005-9E2F-4A10-8EB4-7513D6812BB8}"/>
              </c:ext>
            </c:extLst>
          </c:dPt>
          <c:dLbls>
            <c:dLbl>
              <c:idx val="0"/>
              <c:layout>
                <c:manualLayout>
                  <c:x val="0"/>
                  <c:y val="-0.29629629629629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E2F-4A10-8EB4-7513D6812BB8}"/>
                </c:ext>
              </c:extLst>
            </c:dLbl>
            <c:dLbl>
              <c:idx val="1"/>
              <c:layout>
                <c:manualLayout>
                  <c:x val="0"/>
                  <c:y val="-0.194444444444444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2F-4A10-8EB4-7513D6812BB8}"/>
                </c:ext>
              </c:extLst>
            </c:dLbl>
            <c:dLbl>
              <c:idx val="2"/>
              <c:layout>
                <c:manualLayout>
                  <c:x val="-5.0925337632079971E-17"/>
                  <c:y val="-0.226851851851851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2F-4A10-8EB4-7513D6812BB8}"/>
                </c:ext>
              </c:extLst>
            </c:dLbl>
            <c:dLbl>
              <c:idx val="3"/>
              <c:layout>
                <c:manualLayout>
                  <c:x val="8.3333333333333245E-3"/>
                  <c:y val="-0.2662037037037037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9194444444444428E-2"/>
                      <c:h val="7.4004811898512671E-2"/>
                    </c:manualLayout>
                  </c15:layout>
                </c:ext>
                <c:ext xmlns:c16="http://schemas.microsoft.com/office/drawing/2014/chart" uri="{C3380CC4-5D6E-409C-BE32-E72D297353CC}">
                  <c16:uniqueId val="{00000003-9E2F-4A10-8EB4-7513D6812BB8}"/>
                </c:ext>
              </c:extLst>
            </c:dLbl>
            <c:dLbl>
              <c:idx val="4"/>
              <c:layout>
                <c:manualLayout>
                  <c:x val="2.7777777777777779E-3"/>
                  <c:y val="-0.254629629629629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E2F-4A10-8EB4-7513D6812BB8}"/>
                </c:ext>
              </c:extLst>
            </c:dLbl>
            <c:dLbl>
              <c:idx val="5"/>
              <c:layout>
                <c:manualLayout>
                  <c:x val="-2.5000000000000001E-2"/>
                  <c:y val="-0.1712962962962963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3638888888888893E-2"/>
                      <c:h val="7.4004811898512685E-2"/>
                    </c:manualLayout>
                  </c15:layout>
                </c:ext>
                <c:ext xmlns:c16="http://schemas.microsoft.com/office/drawing/2014/chart" uri="{C3380CC4-5D6E-409C-BE32-E72D297353CC}">
                  <c16:uniqueId val="{00000005-9E2F-4A10-8EB4-7513D6812BB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table'!$D$4:$D$10</c:f>
              <c:strCache>
                <c:ptCount val="6"/>
                <c:pt idx="0">
                  <c:v>Jan</c:v>
                </c:pt>
                <c:pt idx="1">
                  <c:v>Feb</c:v>
                </c:pt>
                <c:pt idx="2">
                  <c:v>Mar</c:v>
                </c:pt>
                <c:pt idx="3">
                  <c:v>Apr</c:v>
                </c:pt>
                <c:pt idx="4">
                  <c:v>May</c:v>
                </c:pt>
                <c:pt idx="5">
                  <c:v>Jul</c:v>
                </c:pt>
              </c:strCache>
            </c:strRef>
          </c:cat>
          <c:val>
            <c:numRef>
              <c:f>'pivot table'!$E$4:$E$10</c:f>
              <c:numCache>
                <c:formatCode>0.00</c:formatCode>
                <c:ptCount val="6"/>
                <c:pt idx="0">
                  <c:v>95.8055555555555</c:v>
                </c:pt>
                <c:pt idx="1">
                  <c:v>33.877777777777801</c:v>
                </c:pt>
                <c:pt idx="2">
                  <c:v>74.855555555555497</c:v>
                </c:pt>
                <c:pt idx="3">
                  <c:v>37.244444444444397</c:v>
                </c:pt>
                <c:pt idx="4">
                  <c:v>65.905555555555594</c:v>
                </c:pt>
                <c:pt idx="5">
                  <c:v>36.661111111111097</c:v>
                </c:pt>
              </c:numCache>
            </c:numRef>
          </c:val>
          <c:extLst>
            <c:ext xmlns:c16="http://schemas.microsoft.com/office/drawing/2014/chart" uri="{C3380CC4-5D6E-409C-BE32-E72D297353CC}">
              <c16:uniqueId val="{00000006-9E2F-4A10-8EB4-7513D6812BB8}"/>
            </c:ext>
          </c:extLst>
        </c:ser>
        <c:dLbls>
          <c:showLegendKey val="0"/>
          <c:showVal val="1"/>
          <c:showCatName val="0"/>
          <c:showSerName val="0"/>
          <c:showPercent val="0"/>
          <c:showBubbleSize val="0"/>
        </c:dLbls>
        <c:axId val="2028853983"/>
        <c:axId val="2028853503"/>
      </c:areaChart>
      <c:catAx>
        <c:axId val="202885398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8853503"/>
        <c:crosses val="autoZero"/>
        <c:auto val="1"/>
        <c:lblAlgn val="ctr"/>
        <c:lblOffset val="100"/>
        <c:noMultiLvlLbl val="0"/>
      </c:catAx>
      <c:valAx>
        <c:axId val="2028853503"/>
        <c:scaling>
          <c:orientation val="minMax"/>
        </c:scaling>
        <c:delete val="1"/>
        <c:axPos val="l"/>
        <c:numFmt formatCode="0.00" sourceLinked="1"/>
        <c:majorTickMark val="none"/>
        <c:minorTickMark val="none"/>
        <c:tickLblPos val="nextTo"/>
        <c:crossAx val="20288539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30480</xdr:colOff>
      <xdr:row>0</xdr:row>
      <xdr:rowOff>91440</xdr:rowOff>
    </xdr:from>
    <xdr:to>
      <xdr:col>22</xdr:col>
      <xdr:colOff>518160</xdr:colOff>
      <xdr:row>32</xdr:row>
      <xdr:rowOff>60960</xdr:rowOff>
    </xdr:to>
    <xdr:sp macro="" textlink="">
      <xdr:nvSpPr>
        <xdr:cNvPr id="3" name="Rectangle: Rounded Corners 2">
          <a:extLst>
            <a:ext uri="{FF2B5EF4-FFF2-40B4-BE49-F238E27FC236}">
              <a16:creationId xmlns:a16="http://schemas.microsoft.com/office/drawing/2014/main" id="{D577F2EE-25A0-12AC-5123-890F899455E7}"/>
            </a:ext>
          </a:extLst>
        </xdr:cNvPr>
        <xdr:cNvSpPr/>
      </xdr:nvSpPr>
      <xdr:spPr>
        <a:xfrm>
          <a:off x="1249680" y="91440"/>
          <a:ext cx="12679680" cy="5875020"/>
        </a:xfrm>
        <a:prstGeom prst="roundRect">
          <a:avLst>
            <a:gd name="adj" fmla="val 2264"/>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75000"/>
                <a:lumOff val="25000"/>
              </a:schemeClr>
            </a:solidFill>
          </a:endParaRPr>
        </a:p>
      </xdr:txBody>
    </xdr:sp>
    <xdr:clientData/>
  </xdr:twoCellAnchor>
  <xdr:twoCellAnchor>
    <xdr:from>
      <xdr:col>3</xdr:col>
      <xdr:colOff>0</xdr:colOff>
      <xdr:row>1</xdr:row>
      <xdr:rowOff>76200</xdr:rowOff>
    </xdr:from>
    <xdr:to>
      <xdr:col>22</xdr:col>
      <xdr:colOff>45720</xdr:colOff>
      <xdr:row>6</xdr:row>
      <xdr:rowOff>76200</xdr:rowOff>
    </xdr:to>
    <xdr:sp macro="" textlink="">
      <xdr:nvSpPr>
        <xdr:cNvPr id="4" name="Rectangle: Rounded Corners 3">
          <a:extLst>
            <a:ext uri="{FF2B5EF4-FFF2-40B4-BE49-F238E27FC236}">
              <a16:creationId xmlns:a16="http://schemas.microsoft.com/office/drawing/2014/main" id="{66A44E66-8A74-FE81-B34E-0D6AA5BD4813}"/>
            </a:ext>
          </a:extLst>
        </xdr:cNvPr>
        <xdr:cNvSpPr/>
      </xdr:nvSpPr>
      <xdr:spPr>
        <a:xfrm>
          <a:off x="1828800" y="259080"/>
          <a:ext cx="11628120" cy="914400"/>
        </a:xfrm>
        <a:prstGeom prst="roundRect">
          <a:avLst>
            <a:gd name="adj" fmla="val 91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563880</xdr:colOff>
      <xdr:row>2</xdr:row>
      <xdr:rowOff>106680</xdr:rowOff>
    </xdr:from>
    <xdr:to>
      <xdr:col>18</xdr:col>
      <xdr:colOff>53340</xdr:colOff>
      <xdr:row>4</xdr:row>
      <xdr:rowOff>160020</xdr:rowOff>
    </xdr:to>
    <xdr:sp macro="" textlink="">
      <xdr:nvSpPr>
        <xdr:cNvPr id="5" name="Rectangle 4">
          <a:extLst>
            <a:ext uri="{FF2B5EF4-FFF2-40B4-BE49-F238E27FC236}">
              <a16:creationId xmlns:a16="http://schemas.microsoft.com/office/drawing/2014/main" id="{82B1A16F-12C0-F823-060E-BE1FC4B82B37}"/>
            </a:ext>
          </a:extLst>
        </xdr:cNvPr>
        <xdr:cNvSpPr/>
      </xdr:nvSpPr>
      <xdr:spPr>
        <a:xfrm>
          <a:off x="4221480" y="472440"/>
          <a:ext cx="6804660" cy="419100"/>
        </a:xfrm>
        <a:prstGeom prst="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latin typeface="Times New Roman" panose="02020603050405020304" pitchFamily="18" charset="0"/>
              <a:cs typeface="Times New Roman" panose="02020603050405020304" pitchFamily="18" charset="0"/>
            </a:rPr>
            <a:t>COLLEGE</a:t>
          </a:r>
          <a:r>
            <a:rPr lang="en-IN" sz="2400" baseline="0">
              <a:latin typeface="Times New Roman" panose="02020603050405020304" pitchFamily="18" charset="0"/>
              <a:cs typeface="Times New Roman" panose="02020603050405020304" pitchFamily="18" charset="0"/>
            </a:rPr>
            <a:t> RESULT ANALYSIS</a:t>
          </a:r>
          <a:endParaRPr lang="en-IN" sz="2400">
            <a:latin typeface="Times New Roman" panose="02020603050405020304" pitchFamily="18" charset="0"/>
            <a:cs typeface="Times New Roman" panose="02020603050405020304" pitchFamily="18" charset="0"/>
          </a:endParaRPr>
        </a:p>
      </xdr:txBody>
    </xdr:sp>
    <xdr:clientData/>
  </xdr:twoCellAnchor>
  <xdr:twoCellAnchor editAs="oneCell">
    <xdr:from>
      <xdr:col>4</xdr:col>
      <xdr:colOff>365760</xdr:colOff>
      <xdr:row>1</xdr:row>
      <xdr:rowOff>106680</xdr:rowOff>
    </xdr:from>
    <xdr:to>
      <xdr:col>6</xdr:col>
      <xdr:colOff>60960</xdr:colOff>
      <xdr:row>6</xdr:row>
      <xdr:rowOff>106680</xdr:rowOff>
    </xdr:to>
    <xdr:pic>
      <xdr:nvPicPr>
        <xdr:cNvPr id="7" name="Graphic 6" descr="Diploma roll with solid fill">
          <a:extLst>
            <a:ext uri="{FF2B5EF4-FFF2-40B4-BE49-F238E27FC236}">
              <a16:creationId xmlns:a16="http://schemas.microsoft.com/office/drawing/2014/main" id="{A864B48A-AFB2-1C4F-F9F2-7AB148390B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04160" y="289560"/>
          <a:ext cx="914400" cy="914400"/>
        </a:xfrm>
        <a:prstGeom prst="rect">
          <a:avLst/>
        </a:prstGeom>
      </xdr:spPr>
    </xdr:pic>
    <xdr:clientData/>
  </xdr:twoCellAnchor>
  <xdr:twoCellAnchor>
    <xdr:from>
      <xdr:col>2</xdr:col>
      <xdr:colOff>327660</xdr:colOff>
      <xdr:row>8</xdr:row>
      <xdr:rowOff>91440</xdr:rowOff>
    </xdr:from>
    <xdr:to>
      <xdr:col>6</xdr:col>
      <xdr:colOff>167640</xdr:colOff>
      <xdr:row>16</xdr:row>
      <xdr:rowOff>167640</xdr:rowOff>
    </xdr:to>
    <xdr:sp macro="" textlink="">
      <xdr:nvSpPr>
        <xdr:cNvPr id="8" name="Rectangle: Rounded Corners 7">
          <a:extLst>
            <a:ext uri="{FF2B5EF4-FFF2-40B4-BE49-F238E27FC236}">
              <a16:creationId xmlns:a16="http://schemas.microsoft.com/office/drawing/2014/main" id="{D6E92006-7791-034A-8C15-2D04D84E2A13}"/>
            </a:ext>
          </a:extLst>
        </xdr:cNvPr>
        <xdr:cNvSpPr/>
      </xdr:nvSpPr>
      <xdr:spPr>
        <a:xfrm>
          <a:off x="1546860" y="1554480"/>
          <a:ext cx="2278380" cy="1539240"/>
        </a:xfrm>
        <a:prstGeom prst="roundRect">
          <a:avLst>
            <a:gd name="adj" fmla="val 7261"/>
          </a:avLst>
        </a:prstGeom>
        <a:solidFill>
          <a:schemeClr val="tx1">
            <a:lumMod val="65000"/>
            <a:lumOff val="3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ln>
              <a:noFill/>
            </a:ln>
            <a:solidFill>
              <a:schemeClr val="bg1"/>
            </a:solidFill>
          </a:endParaRPr>
        </a:p>
      </xdr:txBody>
    </xdr:sp>
    <xdr:clientData/>
  </xdr:twoCellAnchor>
  <xdr:twoCellAnchor>
    <xdr:from>
      <xdr:col>3</xdr:col>
      <xdr:colOff>137160</xdr:colOff>
      <xdr:row>12</xdr:row>
      <xdr:rowOff>15240</xdr:rowOff>
    </xdr:from>
    <xdr:to>
      <xdr:col>5</xdr:col>
      <xdr:colOff>464820</xdr:colOff>
      <xdr:row>13</xdr:row>
      <xdr:rowOff>60960</xdr:rowOff>
    </xdr:to>
    <xdr:sp macro="" textlink="">
      <xdr:nvSpPr>
        <xdr:cNvPr id="10" name="Rectangle 9">
          <a:extLst>
            <a:ext uri="{FF2B5EF4-FFF2-40B4-BE49-F238E27FC236}">
              <a16:creationId xmlns:a16="http://schemas.microsoft.com/office/drawing/2014/main" id="{4E5ED785-3230-B331-1E56-12B2A6BC2152}"/>
            </a:ext>
          </a:extLst>
        </xdr:cNvPr>
        <xdr:cNvSpPr/>
      </xdr:nvSpPr>
      <xdr:spPr>
        <a:xfrm>
          <a:off x="1965960" y="2209800"/>
          <a:ext cx="1546860" cy="228600"/>
        </a:xfrm>
        <a:prstGeom prst="rect">
          <a:avLst/>
        </a:prstGeom>
        <a:solidFill>
          <a:schemeClr val="tx1">
            <a:lumMod val="65000"/>
            <a:lumOff val="3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Times New Roman" panose="02020603050405020304" pitchFamily="18" charset="0"/>
              <a:cs typeface="Times New Roman" panose="02020603050405020304" pitchFamily="18" charset="0"/>
            </a:rPr>
            <a:t>TOTAL STUDENTS</a:t>
          </a:r>
        </a:p>
      </xdr:txBody>
    </xdr:sp>
    <xdr:clientData/>
  </xdr:twoCellAnchor>
  <xdr:twoCellAnchor>
    <xdr:from>
      <xdr:col>3</xdr:col>
      <xdr:colOff>586740</xdr:colOff>
      <xdr:row>13</xdr:row>
      <xdr:rowOff>129540</xdr:rowOff>
    </xdr:from>
    <xdr:to>
      <xdr:col>4</xdr:col>
      <xdr:colOff>457200</xdr:colOff>
      <xdr:row>16</xdr:row>
      <xdr:rowOff>30480</xdr:rowOff>
    </xdr:to>
    <xdr:sp macro="" textlink="">
      <xdr:nvSpPr>
        <xdr:cNvPr id="14" name="Rectangle 13">
          <a:extLst>
            <a:ext uri="{FF2B5EF4-FFF2-40B4-BE49-F238E27FC236}">
              <a16:creationId xmlns:a16="http://schemas.microsoft.com/office/drawing/2014/main" id="{19805A08-D268-BAA7-726E-864354E1AA89}"/>
            </a:ext>
          </a:extLst>
        </xdr:cNvPr>
        <xdr:cNvSpPr/>
      </xdr:nvSpPr>
      <xdr:spPr>
        <a:xfrm>
          <a:off x="2415540" y="2506980"/>
          <a:ext cx="480060" cy="449580"/>
        </a:xfrm>
        <a:prstGeom prst="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23</a:t>
          </a:r>
        </a:p>
      </xdr:txBody>
    </xdr:sp>
    <xdr:clientData/>
  </xdr:twoCellAnchor>
  <xdr:twoCellAnchor editAs="oneCell">
    <xdr:from>
      <xdr:col>3</xdr:col>
      <xdr:colOff>571500</xdr:colOff>
      <xdr:row>8</xdr:row>
      <xdr:rowOff>83820</xdr:rowOff>
    </xdr:from>
    <xdr:to>
      <xdr:col>4</xdr:col>
      <xdr:colOff>563880</xdr:colOff>
      <xdr:row>11</xdr:row>
      <xdr:rowOff>83820</xdr:rowOff>
    </xdr:to>
    <xdr:pic>
      <xdr:nvPicPr>
        <xdr:cNvPr id="15" name="Picture 14">
          <a:extLst>
            <a:ext uri="{FF2B5EF4-FFF2-40B4-BE49-F238E27FC236}">
              <a16:creationId xmlns:a16="http://schemas.microsoft.com/office/drawing/2014/main" id="{30CBEE8F-130B-6330-4F9B-BDE8AE05F4E5}"/>
            </a:ext>
          </a:extLst>
        </xdr:cNvPr>
        <xdr:cNvPicPr>
          <a:picLocks noChangeAspect="1"/>
        </xdr:cNvPicPr>
      </xdr:nvPicPr>
      <xdr:blipFill>
        <a:blip xmlns:r="http://schemas.openxmlformats.org/officeDocument/2006/relationships" r:embed="rId3"/>
        <a:stretch>
          <a:fillRect/>
        </a:stretch>
      </xdr:blipFill>
      <xdr:spPr>
        <a:xfrm>
          <a:off x="2400300" y="1546860"/>
          <a:ext cx="601980" cy="601980"/>
        </a:xfrm>
        <a:prstGeom prst="rect">
          <a:avLst/>
        </a:prstGeom>
      </xdr:spPr>
    </xdr:pic>
    <xdr:clientData/>
  </xdr:twoCellAnchor>
  <xdr:twoCellAnchor>
    <xdr:from>
      <xdr:col>6</xdr:col>
      <xdr:colOff>220980</xdr:colOff>
      <xdr:row>7</xdr:row>
      <xdr:rowOff>144780</xdr:rowOff>
    </xdr:from>
    <xdr:to>
      <xdr:col>12</xdr:col>
      <xdr:colOff>373380</xdr:colOff>
      <xdr:row>18</xdr:row>
      <xdr:rowOff>15240</xdr:rowOff>
    </xdr:to>
    <xdr:graphicFrame macro="">
      <xdr:nvGraphicFramePr>
        <xdr:cNvPr id="16" name="Chart 15">
          <a:extLst>
            <a:ext uri="{FF2B5EF4-FFF2-40B4-BE49-F238E27FC236}">
              <a16:creationId xmlns:a16="http://schemas.microsoft.com/office/drawing/2014/main" id="{F7F5FD35-A7F0-4A50-9FA7-B0BEA4628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495300</xdr:colOff>
      <xdr:row>8</xdr:row>
      <xdr:rowOff>121920</xdr:rowOff>
    </xdr:from>
    <xdr:to>
      <xdr:col>15</xdr:col>
      <xdr:colOff>495300</xdr:colOff>
      <xdr:row>17</xdr:row>
      <xdr:rowOff>30480</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F40C4647-0392-52F3-73B2-65BBE9AA450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810500" y="1584960"/>
              <a:ext cx="1828800" cy="1607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464820</xdr:colOff>
      <xdr:row>18</xdr:row>
      <xdr:rowOff>76200</xdr:rowOff>
    </xdr:from>
    <xdr:to>
      <xdr:col>17</xdr:col>
      <xdr:colOff>518160</xdr:colOff>
      <xdr:row>30</xdr:row>
      <xdr:rowOff>106680</xdr:rowOff>
    </xdr:to>
    <xdr:graphicFrame macro="">
      <xdr:nvGraphicFramePr>
        <xdr:cNvPr id="13" name="Chart 12">
          <a:extLst>
            <a:ext uri="{FF2B5EF4-FFF2-40B4-BE49-F238E27FC236}">
              <a16:creationId xmlns:a16="http://schemas.microsoft.com/office/drawing/2014/main" id="{7A94765D-963B-413A-BD4A-60C5FBED7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228600</xdr:colOff>
      <xdr:row>18</xdr:row>
      <xdr:rowOff>68580</xdr:rowOff>
    </xdr:from>
    <xdr:to>
      <xdr:col>12</xdr:col>
      <xdr:colOff>403860</xdr:colOff>
      <xdr:row>30</xdr:row>
      <xdr:rowOff>129540</xdr:rowOff>
    </xdr:to>
    <xdr:graphicFrame macro="">
      <xdr:nvGraphicFramePr>
        <xdr:cNvPr id="17" name="Chart 16">
          <a:extLst>
            <a:ext uri="{FF2B5EF4-FFF2-40B4-BE49-F238E27FC236}">
              <a16:creationId xmlns:a16="http://schemas.microsoft.com/office/drawing/2014/main" id="{D08B8EFB-9375-4FCC-B882-75A17888A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556260</xdr:colOff>
      <xdr:row>18</xdr:row>
      <xdr:rowOff>68580</xdr:rowOff>
    </xdr:from>
    <xdr:to>
      <xdr:col>22</xdr:col>
      <xdr:colOff>441960</xdr:colOff>
      <xdr:row>30</xdr:row>
      <xdr:rowOff>91440</xdr:rowOff>
    </xdr:to>
    <xdr:graphicFrame macro="">
      <xdr:nvGraphicFramePr>
        <xdr:cNvPr id="18" name="Chart 17">
          <a:extLst>
            <a:ext uri="{FF2B5EF4-FFF2-40B4-BE49-F238E27FC236}">
              <a16:creationId xmlns:a16="http://schemas.microsoft.com/office/drawing/2014/main" id="{A9E3BF46-7713-42D5-B69E-3BCFD0D44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586740</xdr:colOff>
      <xdr:row>7</xdr:row>
      <xdr:rowOff>106680</xdr:rowOff>
    </xdr:from>
    <xdr:to>
      <xdr:col>22</xdr:col>
      <xdr:colOff>419100</xdr:colOff>
      <xdr:row>17</xdr:row>
      <xdr:rowOff>167640</xdr:rowOff>
    </xdr:to>
    <xdr:graphicFrame macro="">
      <xdr:nvGraphicFramePr>
        <xdr:cNvPr id="19" name="Chart 18">
          <a:extLst>
            <a:ext uri="{FF2B5EF4-FFF2-40B4-BE49-F238E27FC236}">
              <a16:creationId xmlns:a16="http://schemas.microsoft.com/office/drawing/2014/main" id="{5C72ACF4-FFB1-46CB-A5DD-22A0DDCBC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510540</xdr:colOff>
      <xdr:row>18</xdr:row>
      <xdr:rowOff>45721</xdr:rowOff>
    </xdr:from>
    <xdr:to>
      <xdr:col>5</xdr:col>
      <xdr:colOff>510540</xdr:colOff>
      <xdr:row>28</xdr:row>
      <xdr:rowOff>137161</xdr:rowOff>
    </xdr:to>
    <mc:AlternateContent xmlns:mc="http://schemas.openxmlformats.org/markup-compatibility/2006" xmlns:a14="http://schemas.microsoft.com/office/drawing/2010/main">
      <mc:Choice Requires="a14">
        <xdr:graphicFrame macro="">
          <xdr:nvGraphicFramePr>
            <xdr:cNvPr id="21" name="Department">
              <a:extLst>
                <a:ext uri="{FF2B5EF4-FFF2-40B4-BE49-F238E27FC236}">
                  <a16:creationId xmlns:a16="http://schemas.microsoft.com/office/drawing/2014/main" id="{B1663E45-A1C3-4CFC-CEE9-1DFAE38063C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729740" y="3390901"/>
              <a:ext cx="1828800" cy="1920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etha M" refreshedDate="45905.495506597224" createdVersion="8" refreshedVersion="8" minRefreshableVersion="3" recordCount="22" xr:uid="{344C105F-0FF5-435F-9490-4CA22CFB538C}">
  <cacheSource type="worksheet">
    <worksheetSource name="Table1"/>
  </cacheSource>
  <cacheFields count="16">
    <cacheField name="Year" numFmtId="0">
      <sharedItems containsSemiMixedTypes="0" containsString="0" containsNumber="1" containsInteger="1" minValue="2021" maxValue="2025" count="4">
        <n v="2021"/>
        <n v="2022"/>
        <n v="2023"/>
        <n v="2025"/>
      </sharedItems>
    </cacheField>
    <cacheField name="Month" numFmtId="0">
      <sharedItems count="6">
        <s v="Jan"/>
        <s v="Feb"/>
        <s v="Mar"/>
        <s v="Apr"/>
        <s v="May"/>
        <s v="Jul"/>
      </sharedItems>
    </cacheField>
    <cacheField name="Roll No" numFmtId="0">
      <sharedItems count="22">
        <s v="CSE101"/>
        <s v="IT102"/>
        <s v="ECE103"/>
        <s v="EEE104"/>
        <s v="ME105"/>
        <s v="CSE106"/>
        <s v="IT107"/>
        <s v="ECE108"/>
        <s v="EEE109"/>
        <s v="CSE102"/>
        <s v="IT103"/>
        <s v="ECE104"/>
        <s v="EEE105"/>
        <s v="ME106"/>
        <s v="CSE107"/>
        <s v="IT108"/>
        <s v="ECE109"/>
        <s v="EEE110"/>
        <s v="CSE121"/>
        <s v="IT122"/>
        <s v="ECE123"/>
        <s v="EEE124"/>
      </sharedItems>
    </cacheField>
    <cacheField name="Student Name" numFmtId="0">
      <sharedItems count="13">
        <s v="Arun"/>
        <s v="Divya"/>
        <s v="Bala"/>
        <s v="Priya"/>
        <s v="Farhan"/>
        <s v="Gokul"/>
        <s v="Harini"/>
        <s v="Ishwar"/>
        <s v="Jaya"/>
        <s v="Vignesh"/>
        <s v="Yamini"/>
        <s v="Zoya"/>
        <s v="Arul"/>
      </sharedItems>
    </cacheField>
    <cacheField name="Gender" numFmtId="0">
      <sharedItems count="2">
        <s v="M"/>
        <s v="F"/>
      </sharedItems>
    </cacheField>
    <cacheField name="Department" numFmtId="0">
      <sharedItems count="5">
        <s v="CSE"/>
        <s v="IT"/>
        <s v="ECE"/>
        <s v="EEE"/>
        <s v="ME"/>
      </sharedItems>
    </cacheField>
    <cacheField name="Subject 1" numFmtId="0">
      <sharedItems/>
    </cacheField>
    <cacheField name="Subject 2" numFmtId="0">
      <sharedItems/>
    </cacheField>
    <cacheField name="Subject 3" numFmtId="0">
      <sharedItems count="12">
        <s v="DBMS (82)"/>
        <s v="Software Eng (68)"/>
        <s v="Microprocessors (62)"/>
        <s v="Machines (85)"/>
        <s v="Manufacturing (60)"/>
        <s v="DBMS (90)"/>
        <s v="Microprocessors (48)"/>
        <s v="Machines (78)"/>
        <s v="DBMS (80)"/>
        <s v="Software Eng (58)"/>
        <s v="Microprocessors (70)"/>
        <s v="Machines (40)"/>
      </sharedItems>
    </cacheField>
    <cacheField name="Internal Marks" numFmtId="0">
      <sharedItems containsSemiMixedTypes="0" containsString="0" containsNumber="1" minValue="5" maxValue="25"/>
    </cacheField>
    <cacheField name="Total Marks" numFmtId="0">
      <sharedItems containsSemiMixedTypes="0" containsString="0" containsNumber="1" containsInteger="1" minValue="300" maxValue="300" count="1">
        <n v="300"/>
      </sharedItems>
    </cacheField>
    <cacheField name="Obtained Marks" numFmtId="0">
      <sharedItems containsSemiMixedTypes="0" containsString="0" containsNumber="1" minValue="113" maxValue="285" count="22">
        <n v="260"/>
        <n v="228"/>
        <n v="202"/>
        <n v="285"/>
        <n v="185"/>
        <n v="277"/>
        <n v="223"/>
        <n v="143"/>
        <n v="243"/>
        <n v="203.25"/>
        <n v="198.433333333333"/>
        <n v="193.61666666666699"/>
        <n v="188.8"/>
        <n v="183.98333333333301"/>
        <n v="179.166666666667"/>
        <n v="174.35"/>
        <n v="169.53333333333299"/>
        <n v="164.71666666666701"/>
        <n v="255"/>
        <n v="163"/>
        <n v="203"/>
        <n v="113"/>
      </sharedItems>
    </cacheField>
    <cacheField name="Attendance %" numFmtId="9">
      <sharedItems containsSemiMixedTypes="0" containsString="0" containsNumber="1" minValue="0.6" maxValue="0.98"/>
    </cacheField>
    <cacheField name="Percentage" numFmtId="10">
      <sharedItems containsSemiMixedTypes="0" containsString="0" containsNumber="1" minValue="0.37669999999999998" maxValue="0.95"/>
    </cacheField>
    <cacheField name="Result" numFmtId="0">
      <sharedItems count="2">
        <s v="Pass"/>
        <s v="Fail"/>
      </sharedItems>
    </cacheField>
    <cacheField name="Grade" numFmtId="0">
      <sharedItems count="5">
        <s v="A"/>
        <s v="B"/>
        <s v="A+"/>
        <s v="C"/>
        <s v="F"/>
      </sharedItems>
    </cacheField>
  </cacheFields>
  <extLst>
    <ext xmlns:x14="http://schemas.microsoft.com/office/spreadsheetml/2009/9/main" uri="{725AE2AE-9491-48be-B2B4-4EB974FC3084}">
      <x14:pivotCacheDefinition pivotCacheId="15107380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x v="0"/>
    <x v="0"/>
    <x v="0"/>
    <x v="0"/>
    <x v="0"/>
    <s v="Programming (80)"/>
    <s v="Data Structures (78)"/>
    <x v="0"/>
    <n v="20"/>
    <x v="0"/>
    <x v="0"/>
    <n v="0.94"/>
    <n v="0.86670000000000003"/>
    <x v="0"/>
    <x v="0"/>
  </r>
  <r>
    <x v="0"/>
    <x v="1"/>
    <x v="1"/>
    <x v="1"/>
    <x v="1"/>
    <x v="1"/>
    <s v="Networking (70)"/>
    <s v="Web Tech (72)"/>
    <x v="1"/>
    <n v="18"/>
    <x v="0"/>
    <x v="1"/>
    <n v="0.91"/>
    <n v="0.76"/>
    <x v="0"/>
    <x v="0"/>
  </r>
  <r>
    <x v="0"/>
    <x v="2"/>
    <x v="2"/>
    <x v="2"/>
    <x v="0"/>
    <x v="2"/>
    <s v="Digital Circuits (65)"/>
    <s v="Signals (60)"/>
    <x v="2"/>
    <n v="15"/>
    <x v="0"/>
    <x v="2"/>
    <n v="0.88"/>
    <n v="0.67330000000000001"/>
    <x v="0"/>
    <x v="1"/>
  </r>
  <r>
    <x v="0"/>
    <x v="3"/>
    <x v="3"/>
    <x v="3"/>
    <x v="1"/>
    <x v="3"/>
    <s v="Power Systems (90)"/>
    <s v="Control Engg (88)"/>
    <x v="3"/>
    <n v="22"/>
    <x v="0"/>
    <x v="3"/>
    <n v="0.95"/>
    <n v="0.95"/>
    <x v="0"/>
    <x v="2"/>
  </r>
  <r>
    <x v="0"/>
    <x v="4"/>
    <x v="4"/>
    <x v="4"/>
    <x v="0"/>
    <x v="4"/>
    <s v="Thermodynamics (55)"/>
    <s v="Fluid Mechanics (58)"/>
    <x v="4"/>
    <n v="12"/>
    <x v="0"/>
    <x v="4"/>
    <n v="0.82"/>
    <n v="0.61670000000000003"/>
    <x v="0"/>
    <x v="3"/>
  </r>
  <r>
    <x v="1"/>
    <x v="0"/>
    <x v="5"/>
    <x v="5"/>
    <x v="0"/>
    <x v="0"/>
    <s v="Programming (95)"/>
    <s v="Data Structures (92)"/>
    <x v="5"/>
    <n v="25"/>
    <x v="0"/>
    <x v="5"/>
    <n v="0.98"/>
    <n v="0.92330000000000001"/>
    <x v="0"/>
    <x v="2"/>
  </r>
  <r>
    <x v="1"/>
    <x v="2"/>
    <x v="6"/>
    <x v="6"/>
    <x v="1"/>
    <x v="1"/>
    <s v="Networking (65)"/>
    <s v="Web Tech (70)"/>
    <x v="1"/>
    <n v="20"/>
    <x v="0"/>
    <x v="6"/>
    <n v="0.9"/>
    <n v="0.74329999999999996"/>
    <x v="0"/>
    <x v="0"/>
  </r>
  <r>
    <x v="1"/>
    <x v="4"/>
    <x v="7"/>
    <x v="7"/>
    <x v="0"/>
    <x v="2"/>
    <s v="Digital Circuits (40)"/>
    <s v="Signals (45)"/>
    <x v="6"/>
    <n v="10"/>
    <x v="0"/>
    <x v="7"/>
    <n v="0.7"/>
    <n v="0.47670000000000001"/>
    <x v="1"/>
    <x v="4"/>
  </r>
  <r>
    <x v="1"/>
    <x v="5"/>
    <x v="8"/>
    <x v="8"/>
    <x v="1"/>
    <x v="3"/>
    <s v="Power Systems (75)"/>
    <s v="Control Engg (72)"/>
    <x v="7"/>
    <n v="18"/>
    <x v="0"/>
    <x v="8"/>
    <n v="0.85"/>
    <n v="0.81"/>
    <x v="0"/>
    <x v="0"/>
  </r>
  <r>
    <x v="1"/>
    <x v="0"/>
    <x v="9"/>
    <x v="0"/>
    <x v="0"/>
    <x v="0"/>
    <s v="Programming (80)"/>
    <s v="Data Structures (78)"/>
    <x v="0"/>
    <n v="16.1944444444444"/>
    <x v="0"/>
    <x v="9"/>
    <n v="0.80444444444444496"/>
    <n v="0.67749444444444495"/>
    <x v="0"/>
    <x v="0"/>
  </r>
  <r>
    <x v="1"/>
    <x v="1"/>
    <x v="10"/>
    <x v="1"/>
    <x v="1"/>
    <x v="1"/>
    <s v="Networking (70)"/>
    <s v="Web Tech (72)"/>
    <x v="1"/>
    <n v="15.8777777777778"/>
    <x v="0"/>
    <x v="10"/>
    <n v="0.78911111111111198"/>
    <n v="0.66143777777777801"/>
    <x v="0"/>
    <x v="0"/>
  </r>
  <r>
    <x v="1"/>
    <x v="2"/>
    <x v="11"/>
    <x v="2"/>
    <x v="0"/>
    <x v="2"/>
    <s v="Digital Circuits (65)"/>
    <s v="Signals (60)"/>
    <x v="2"/>
    <n v="15.561111111111099"/>
    <x v="0"/>
    <x v="11"/>
    <n v="0.77377777777777801"/>
    <n v="0.64538111111111196"/>
    <x v="0"/>
    <x v="1"/>
  </r>
  <r>
    <x v="1"/>
    <x v="3"/>
    <x v="12"/>
    <x v="3"/>
    <x v="1"/>
    <x v="3"/>
    <s v="Power Systems (90)"/>
    <s v="Control Engg (88)"/>
    <x v="3"/>
    <n v="15.244444444444399"/>
    <x v="0"/>
    <x v="12"/>
    <n v="0.75844444444444403"/>
    <n v="0.62932444444444502"/>
    <x v="0"/>
    <x v="2"/>
  </r>
  <r>
    <x v="1"/>
    <x v="4"/>
    <x v="13"/>
    <x v="4"/>
    <x v="0"/>
    <x v="4"/>
    <s v="Thermodynamics (55)"/>
    <s v="Fluid Mechanics (58)"/>
    <x v="4"/>
    <n v="14.9277777777778"/>
    <x v="0"/>
    <x v="13"/>
    <n v="0.74311111111111094"/>
    <n v="0.61326777777777797"/>
    <x v="0"/>
    <x v="3"/>
  </r>
  <r>
    <x v="2"/>
    <x v="0"/>
    <x v="14"/>
    <x v="5"/>
    <x v="0"/>
    <x v="0"/>
    <s v="Programming (95)"/>
    <s v="Data Structures (92)"/>
    <x v="5"/>
    <n v="14.6111111111111"/>
    <x v="0"/>
    <x v="14"/>
    <n v="0.72777777777777797"/>
    <n v="0.59721111111111203"/>
    <x v="0"/>
    <x v="2"/>
  </r>
  <r>
    <x v="2"/>
    <x v="2"/>
    <x v="15"/>
    <x v="6"/>
    <x v="1"/>
    <x v="1"/>
    <s v="Networking (65)"/>
    <s v="Web Tech (70)"/>
    <x v="1"/>
    <n v="14.2944444444444"/>
    <x v="0"/>
    <x v="15"/>
    <n v="0.71244444444444499"/>
    <n v="0.58115444444444497"/>
    <x v="0"/>
    <x v="0"/>
  </r>
  <r>
    <x v="2"/>
    <x v="4"/>
    <x v="16"/>
    <x v="7"/>
    <x v="0"/>
    <x v="2"/>
    <s v="Digital Circuits (40)"/>
    <s v="Signals (45)"/>
    <x v="6"/>
    <n v="13.977777777777799"/>
    <x v="0"/>
    <x v="16"/>
    <n v="0.69711111111111201"/>
    <n v="0.56509777777777703"/>
    <x v="1"/>
    <x v="4"/>
  </r>
  <r>
    <x v="2"/>
    <x v="5"/>
    <x v="17"/>
    <x v="8"/>
    <x v="1"/>
    <x v="3"/>
    <s v="Power Systems (75)"/>
    <s v="Control Engg (72)"/>
    <x v="7"/>
    <n v="13.661111111111101"/>
    <x v="0"/>
    <x v="17"/>
    <n v="0.68177777777777804"/>
    <n v="0.54904111111111198"/>
    <x v="0"/>
    <x v="0"/>
  </r>
  <r>
    <x v="3"/>
    <x v="0"/>
    <x v="18"/>
    <x v="9"/>
    <x v="0"/>
    <x v="0"/>
    <s v="Programming (90)"/>
    <s v="Data Structures (85)"/>
    <x v="8"/>
    <n v="20"/>
    <x v="0"/>
    <x v="18"/>
    <n v="0.94"/>
    <n v="0.85"/>
    <x v="0"/>
    <x v="2"/>
  </r>
  <r>
    <x v="3"/>
    <x v="2"/>
    <x v="19"/>
    <x v="10"/>
    <x v="1"/>
    <x v="1"/>
    <s v="Networking (55)"/>
    <s v="Web Tech (50)"/>
    <x v="9"/>
    <n v="10"/>
    <x v="0"/>
    <x v="19"/>
    <n v="0.78"/>
    <n v="0.54330000000000001"/>
    <x v="0"/>
    <x v="3"/>
  </r>
  <r>
    <x v="3"/>
    <x v="4"/>
    <x v="20"/>
    <x v="11"/>
    <x v="1"/>
    <x v="2"/>
    <s v="Digital Circuits (65)"/>
    <s v="Signals (68)"/>
    <x v="10"/>
    <n v="15"/>
    <x v="0"/>
    <x v="20"/>
    <n v="0.88"/>
    <n v="0.67669999999999997"/>
    <x v="0"/>
    <x v="1"/>
  </r>
  <r>
    <x v="3"/>
    <x v="5"/>
    <x v="21"/>
    <x v="12"/>
    <x v="0"/>
    <x v="3"/>
    <s v="Power Systems (35)"/>
    <s v="Control Engg (38)"/>
    <x v="11"/>
    <n v="5"/>
    <x v="0"/>
    <x v="21"/>
    <n v="0.6"/>
    <n v="0.37669999999999998"/>
    <x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4EE5EF-8EEB-4DD1-98A5-9A97FE0594D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15:E21" firstHeaderRow="1" firstDataRow="1" firstDataCol="1"/>
  <pivotFields count="16">
    <pivotField showAll="0">
      <items count="5">
        <item x="0"/>
        <item x="1"/>
        <item x="2"/>
        <item x="3"/>
        <item t="default"/>
      </items>
    </pivotField>
    <pivotField showAll="0">
      <items count="7">
        <item x="0"/>
        <item x="1"/>
        <item x="2"/>
        <item x="3"/>
        <item x="4"/>
        <item x="5"/>
        <item t="default"/>
      </items>
    </pivotField>
    <pivotField showAll="0"/>
    <pivotField showAll="0"/>
    <pivotField showAll="0"/>
    <pivotField axis="axisRow" showAll="0">
      <items count="6">
        <item x="0"/>
        <item x="2"/>
        <item x="3"/>
        <item x="1"/>
        <item x="4"/>
        <item t="default"/>
      </items>
    </pivotField>
    <pivotField showAll="0"/>
    <pivotField showAll="0"/>
    <pivotField showAll="0">
      <items count="13">
        <item x="8"/>
        <item x="0"/>
        <item x="5"/>
        <item x="11"/>
        <item x="7"/>
        <item x="3"/>
        <item x="4"/>
        <item x="6"/>
        <item x="2"/>
        <item x="10"/>
        <item x="9"/>
        <item x="1"/>
        <item t="default"/>
      </items>
    </pivotField>
    <pivotField showAll="0"/>
    <pivotField showAll="0"/>
    <pivotField dataField="1" showAll="0">
      <items count="23">
        <item x="21"/>
        <item x="7"/>
        <item x="19"/>
        <item x="17"/>
        <item x="16"/>
        <item x="15"/>
        <item x="14"/>
        <item x="13"/>
        <item x="4"/>
        <item x="12"/>
        <item x="11"/>
        <item x="10"/>
        <item x="2"/>
        <item x="20"/>
        <item x="9"/>
        <item x="6"/>
        <item x="1"/>
        <item x="8"/>
        <item x="18"/>
        <item x="0"/>
        <item x="5"/>
        <item x="3"/>
        <item t="default"/>
      </items>
    </pivotField>
    <pivotField numFmtId="9" showAll="0"/>
    <pivotField numFmtId="10" showAll="0"/>
    <pivotField showAll="0"/>
    <pivotField showAll="0"/>
  </pivotFields>
  <rowFields count="1">
    <field x="5"/>
  </rowFields>
  <rowItems count="6">
    <i>
      <x/>
    </i>
    <i>
      <x v="1"/>
    </i>
    <i>
      <x v="2"/>
    </i>
    <i>
      <x v="3"/>
    </i>
    <i>
      <x v="4"/>
    </i>
    <i t="grand">
      <x/>
    </i>
  </rowItems>
  <colItems count="1">
    <i/>
  </colItems>
  <dataFields count="1">
    <dataField name="Sum of Obtained Marks" fld="11" baseField="0" baseItem="0" numFmtId="1"/>
  </dataFields>
  <formats count="6">
    <format dxfId="23">
      <pivotArea type="all" dataOnly="0" outline="0" fieldPosition="0"/>
    </format>
    <format dxfId="22">
      <pivotArea outline="0" collapsedLevelsAreSubtotals="1" fieldPosition="0"/>
    </format>
    <format dxfId="21">
      <pivotArea field="1" type="button" dataOnly="0" labelOnly="1" outline="0"/>
    </format>
    <format dxfId="20">
      <pivotArea dataOnly="0" labelOnly="1" grandRow="1" outline="0" fieldPosition="0"/>
    </format>
    <format dxfId="19">
      <pivotArea dataOnly="0" labelOnly="1" outline="0" axis="axisValues" fieldPosition="0"/>
    </format>
    <format dxfId="18">
      <pivotArea outline="0" fieldPosition="0">
        <references count="1">
          <reference field="4294967294" count="1">
            <x v="0"/>
          </reference>
        </references>
      </pivotArea>
    </format>
  </formats>
  <chartFormats count="2">
    <chartFormat chart="1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BC3F82-DCBC-41E3-9B1C-F2380AAA3EC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5:B21" firstHeaderRow="1" firstDataRow="1" firstDataCol="1"/>
  <pivotFields count="16">
    <pivotField showAll="0">
      <items count="5">
        <item x="0"/>
        <item x="1"/>
        <item x="2"/>
        <item x="3"/>
        <item t="default"/>
      </items>
    </pivotField>
    <pivotField showAll="0">
      <items count="7">
        <item x="0"/>
        <item x="1"/>
        <item x="2"/>
        <item x="3"/>
        <item x="4"/>
        <item x="5"/>
        <item t="default"/>
      </items>
    </pivotField>
    <pivotField showAll="0"/>
    <pivotField showAll="0"/>
    <pivotField showAll="0">
      <items count="3">
        <item x="1"/>
        <item x="0"/>
        <item t="default"/>
      </items>
    </pivotField>
    <pivotField axis="axisRow" showAll="0">
      <items count="6">
        <item x="0"/>
        <item x="2"/>
        <item x="3"/>
        <item x="1"/>
        <item x="4"/>
        <item t="default"/>
      </items>
    </pivotField>
    <pivotField showAll="0"/>
    <pivotField showAll="0"/>
    <pivotField showAll="0"/>
    <pivotField showAll="0"/>
    <pivotField showAll="0">
      <items count="2">
        <item x="0"/>
        <item t="default"/>
      </items>
    </pivotField>
    <pivotField showAll="0"/>
    <pivotField numFmtId="9" showAll="0"/>
    <pivotField numFmtId="10" showAll="0"/>
    <pivotField dataField="1" showAll="0">
      <items count="3">
        <item x="1"/>
        <item x="0"/>
        <item t="default"/>
      </items>
    </pivotField>
    <pivotField showAll="0"/>
  </pivotFields>
  <rowFields count="1">
    <field x="5"/>
  </rowFields>
  <rowItems count="6">
    <i>
      <x/>
    </i>
    <i>
      <x v="1"/>
    </i>
    <i>
      <x v="2"/>
    </i>
    <i>
      <x v="3"/>
    </i>
    <i>
      <x v="4"/>
    </i>
    <i t="grand">
      <x/>
    </i>
  </rowItems>
  <colItems count="1">
    <i/>
  </colItems>
  <dataFields count="1">
    <dataField name="Count of Result" fld="14" subtotal="count" baseField="0" baseItem="0" numFmtId="1"/>
  </dataFields>
  <formats count="7">
    <format dxfId="30">
      <pivotArea type="all" dataOnly="0" outline="0" fieldPosition="0"/>
    </format>
    <format dxfId="29">
      <pivotArea outline="0" collapsedLevelsAreSubtotals="1" fieldPosition="0"/>
    </format>
    <format dxfId="28">
      <pivotArea field="5" type="button" dataOnly="0" labelOnly="1" outline="0" axis="axisRow" fieldPosition="0"/>
    </format>
    <format dxfId="27">
      <pivotArea dataOnly="0" labelOnly="1" fieldPosition="0">
        <references count="1">
          <reference field="5" count="0"/>
        </references>
      </pivotArea>
    </format>
    <format dxfId="26">
      <pivotArea dataOnly="0" labelOnly="1" grandRow="1" outline="0" fieldPosition="0"/>
    </format>
    <format dxfId="25">
      <pivotArea dataOnly="0" labelOnly="1" outline="0" axis="axisValues" fieldPosition="0"/>
    </format>
    <format dxfId="24">
      <pivotArea outline="0" fieldPosition="0">
        <references count="1">
          <reference field="4294967294" count="1">
            <x v="0"/>
          </reference>
        </references>
      </pivotArea>
    </format>
  </formats>
  <chartFormats count="2">
    <chartFormat chart="4"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08290F-F3D8-44AF-9EBB-133057085D2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K17" firstHeaderRow="1" firstDataRow="1" firstDataCol="1"/>
  <pivotFields count="16">
    <pivotField showAll="0">
      <items count="5">
        <item x="0"/>
        <item x="1"/>
        <item x="2"/>
        <item x="3"/>
        <item t="default"/>
      </items>
    </pivotField>
    <pivotField showAll="0">
      <items count="7">
        <item x="0"/>
        <item x="1"/>
        <item x="2"/>
        <item x="3"/>
        <item x="4"/>
        <item x="5"/>
        <item t="default"/>
      </items>
    </pivotField>
    <pivotField showAll="0"/>
    <pivotField axis="axisRow" showAll="0">
      <items count="14">
        <item x="12"/>
        <item x="0"/>
        <item x="2"/>
        <item x="1"/>
        <item x="4"/>
        <item x="5"/>
        <item x="6"/>
        <item x="7"/>
        <item x="8"/>
        <item x="3"/>
        <item x="9"/>
        <item x="10"/>
        <item x="11"/>
        <item t="default"/>
      </items>
    </pivotField>
    <pivotField showAll="0"/>
    <pivotField showAll="0">
      <items count="6">
        <item x="0"/>
        <item x="2"/>
        <item x="3"/>
        <item x="1"/>
        <item x="4"/>
        <item t="default"/>
      </items>
    </pivotField>
    <pivotField showAll="0"/>
    <pivotField showAll="0"/>
    <pivotField showAll="0"/>
    <pivotField showAll="0"/>
    <pivotField showAll="0"/>
    <pivotField showAll="0"/>
    <pivotField numFmtId="9" showAll="0"/>
    <pivotField numFmtId="10" showAll="0"/>
    <pivotField showAll="0"/>
    <pivotField dataField="1" showAll="0">
      <items count="6">
        <item x="0"/>
        <item x="2"/>
        <item x="1"/>
        <item x="3"/>
        <item x="4"/>
        <item t="default"/>
      </items>
    </pivotField>
  </pivotFields>
  <rowFields count="1">
    <field x="3"/>
  </rowFields>
  <rowItems count="14">
    <i>
      <x/>
    </i>
    <i>
      <x v="1"/>
    </i>
    <i>
      <x v="2"/>
    </i>
    <i>
      <x v="3"/>
    </i>
    <i>
      <x v="4"/>
    </i>
    <i>
      <x v="5"/>
    </i>
    <i>
      <x v="6"/>
    </i>
    <i>
      <x v="7"/>
    </i>
    <i>
      <x v="8"/>
    </i>
    <i>
      <x v="9"/>
    </i>
    <i>
      <x v="10"/>
    </i>
    <i>
      <x v="11"/>
    </i>
    <i>
      <x v="12"/>
    </i>
    <i t="grand">
      <x/>
    </i>
  </rowItems>
  <colItems count="1">
    <i/>
  </colItems>
  <dataFields count="1">
    <dataField name="Count of Grade" fld="15" subtotal="count" baseField="0" baseItem="0" numFmtId="1"/>
  </dataFields>
  <formats count="6">
    <format dxfId="36">
      <pivotArea type="all" dataOnly="0" outline="0" fieldPosition="0"/>
    </format>
    <format dxfId="35">
      <pivotArea outline="0" collapsedLevelsAreSubtotals="1" fieldPosition="0"/>
    </format>
    <format dxfId="34">
      <pivotArea field="1" type="button" dataOnly="0" labelOnly="1" outline="0"/>
    </format>
    <format dxfId="33">
      <pivotArea dataOnly="0" labelOnly="1" grandRow="1" outline="0" fieldPosition="0"/>
    </format>
    <format dxfId="32">
      <pivotArea dataOnly="0" labelOnly="1" outline="0" axis="axisValues" fieldPosition="0"/>
    </format>
    <format dxfId="31">
      <pivotArea outline="0" fieldPosition="0">
        <references count="1">
          <reference field="4294967294" count="1">
            <x v="0"/>
          </reference>
        </references>
      </pivotArea>
    </format>
  </formats>
  <chartFormats count="2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 chart="1" format="5">
      <pivotArea type="data" outline="0" fieldPosition="0">
        <references count="2">
          <reference field="4294967294" count="1" selected="0">
            <x v="0"/>
          </reference>
          <reference field="3" count="1" selected="0">
            <x v="4"/>
          </reference>
        </references>
      </pivotArea>
    </chartFormat>
    <chartFormat chart="1" format="6">
      <pivotArea type="data" outline="0" fieldPosition="0">
        <references count="2">
          <reference field="4294967294" count="1" selected="0">
            <x v="0"/>
          </reference>
          <reference field="3" count="1" selected="0">
            <x v="5"/>
          </reference>
        </references>
      </pivotArea>
    </chartFormat>
    <chartFormat chart="1" format="7">
      <pivotArea type="data" outline="0" fieldPosition="0">
        <references count="2">
          <reference field="4294967294" count="1" selected="0">
            <x v="0"/>
          </reference>
          <reference field="3" count="1" selected="0">
            <x v="6"/>
          </reference>
        </references>
      </pivotArea>
    </chartFormat>
    <chartFormat chart="1" format="8">
      <pivotArea type="data" outline="0" fieldPosition="0">
        <references count="2">
          <reference field="4294967294" count="1" selected="0">
            <x v="0"/>
          </reference>
          <reference field="3" count="1" selected="0">
            <x v="7"/>
          </reference>
        </references>
      </pivotArea>
    </chartFormat>
    <chartFormat chart="1" format="9">
      <pivotArea type="data" outline="0" fieldPosition="0">
        <references count="2">
          <reference field="4294967294" count="1" selected="0">
            <x v="0"/>
          </reference>
          <reference field="3" count="1" selected="0">
            <x v="8"/>
          </reference>
        </references>
      </pivotArea>
    </chartFormat>
    <chartFormat chart="1" format="10">
      <pivotArea type="data" outline="0" fieldPosition="0">
        <references count="2">
          <reference field="4294967294" count="1" selected="0">
            <x v="0"/>
          </reference>
          <reference field="3" count="1" selected="0">
            <x v="9"/>
          </reference>
        </references>
      </pivotArea>
    </chartFormat>
    <chartFormat chart="1" format="11">
      <pivotArea type="data" outline="0" fieldPosition="0">
        <references count="2">
          <reference field="4294967294" count="1" selected="0">
            <x v="0"/>
          </reference>
          <reference field="3" count="1" selected="0">
            <x v="10"/>
          </reference>
        </references>
      </pivotArea>
    </chartFormat>
    <chartFormat chart="1" format="12">
      <pivotArea type="data" outline="0" fieldPosition="0">
        <references count="2">
          <reference field="4294967294" count="1" selected="0">
            <x v="0"/>
          </reference>
          <reference field="3" count="1" selected="0">
            <x v="11"/>
          </reference>
        </references>
      </pivotArea>
    </chartFormat>
    <chartFormat chart="1" format="13">
      <pivotArea type="data" outline="0" fieldPosition="0">
        <references count="2">
          <reference field="4294967294" count="1" selected="0">
            <x v="0"/>
          </reference>
          <reference field="3" count="1" selected="0">
            <x v="12"/>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3" count="1" selected="0">
            <x v="0"/>
          </reference>
        </references>
      </pivotArea>
    </chartFormat>
    <chartFormat chart="7" format="16">
      <pivotArea type="data" outline="0" fieldPosition="0">
        <references count="2">
          <reference field="4294967294" count="1" selected="0">
            <x v="0"/>
          </reference>
          <reference field="3" count="1" selected="0">
            <x v="1"/>
          </reference>
        </references>
      </pivotArea>
    </chartFormat>
    <chartFormat chart="7" format="17">
      <pivotArea type="data" outline="0" fieldPosition="0">
        <references count="2">
          <reference field="4294967294" count="1" selected="0">
            <x v="0"/>
          </reference>
          <reference field="3" count="1" selected="0">
            <x v="2"/>
          </reference>
        </references>
      </pivotArea>
    </chartFormat>
    <chartFormat chart="7" format="18">
      <pivotArea type="data" outline="0" fieldPosition="0">
        <references count="2">
          <reference field="4294967294" count="1" selected="0">
            <x v="0"/>
          </reference>
          <reference field="3" count="1" selected="0">
            <x v="3"/>
          </reference>
        </references>
      </pivotArea>
    </chartFormat>
    <chartFormat chart="7" format="19">
      <pivotArea type="data" outline="0" fieldPosition="0">
        <references count="2">
          <reference field="4294967294" count="1" selected="0">
            <x v="0"/>
          </reference>
          <reference field="3" count="1" selected="0">
            <x v="4"/>
          </reference>
        </references>
      </pivotArea>
    </chartFormat>
    <chartFormat chart="7" format="20">
      <pivotArea type="data" outline="0" fieldPosition="0">
        <references count="2">
          <reference field="4294967294" count="1" selected="0">
            <x v="0"/>
          </reference>
          <reference field="3" count="1" selected="0">
            <x v="5"/>
          </reference>
        </references>
      </pivotArea>
    </chartFormat>
    <chartFormat chart="7" format="21">
      <pivotArea type="data" outline="0" fieldPosition="0">
        <references count="2">
          <reference field="4294967294" count="1" selected="0">
            <x v="0"/>
          </reference>
          <reference field="3" count="1" selected="0">
            <x v="6"/>
          </reference>
        </references>
      </pivotArea>
    </chartFormat>
    <chartFormat chart="7" format="22">
      <pivotArea type="data" outline="0" fieldPosition="0">
        <references count="2">
          <reference field="4294967294" count="1" selected="0">
            <x v="0"/>
          </reference>
          <reference field="3" count="1" selected="0">
            <x v="7"/>
          </reference>
        </references>
      </pivotArea>
    </chartFormat>
    <chartFormat chart="7" format="23">
      <pivotArea type="data" outline="0" fieldPosition="0">
        <references count="2">
          <reference field="4294967294" count="1" selected="0">
            <x v="0"/>
          </reference>
          <reference field="3" count="1" selected="0">
            <x v="8"/>
          </reference>
        </references>
      </pivotArea>
    </chartFormat>
    <chartFormat chart="7" format="24">
      <pivotArea type="data" outline="0" fieldPosition="0">
        <references count="2">
          <reference field="4294967294" count="1" selected="0">
            <x v="0"/>
          </reference>
          <reference field="3" count="1" selected="0">
            <x v="9"/>
          </reference>
        </references>
      </pivotArea>
    </chartFormat>
    <chartFormat chart="7" format="25">
      <pivotArea type="data" outline="0" fieldPosition="0">
        <references count="2">
          <reference field="4294967294" count="1" selected="0">
            <x v="0"/>
          </reference>
          <reference field="3" count="1" selected="0">
            <x v="10"/>
          </reference>
        </references>
      </pivotArea>
    </chartFormat>
    <chartFormat chart="7" format="26">
      <pivotArea type="data" outline="0" fieldPosition="0">
        <references count="2">
          <reference field="4294967294" count="1" selected="0">
            <x v="0"/>
          </reference>
          <reference field="3" count="1" selected="0">
            <x v="11"/>
          </reference>
        </references>
      </pivotArea>
    </chartFormat>
    <chartFormat chart="7" format="27">
      <pivotArea type="data" outline="0" fieldPosition="0">
        <references count="2">
          <reference field="4294967294" count="1" selected="0">
            <x v="0"/>
          </reference>
          <reference field="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505767-6901-4DC7-ADD8-E27CAF585D8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G3:H26" firstHeaderRow="1" firstDataRow="1" firstDataCol="1"/>
  <pivotFields count="16">
    <pivotField showAll="0">
      <items count="5">
        <item x="0"/>
        <item x="1"/>
        <item x="2"/>
        <item x="3"/>
        <item t="default"/>
      </items>
    </pivotField>
    <pivotField showAll="0">
      <items count="7">
        <item x="0"/>
        <item x="1"/>
        <item x="2"/>
        <item x="3"/>
        <item x="4"/>
        <item x="5"/>
        <item t="default"/>
      </items>
    </pivotField>
    <pivotField axis="axisRow" showAll="0">
      <items count="23">
        <item x="0"/>
        <item x="9"/>
        <item x="5"/>
        <item x="14"/>
        <item x="18"/>
        <item x="2"/>
        <item x="11"/>
        <item x="7"/>
        <item x="16"/>
        <item x="20"/>
        <item x="3"/>
        <item x="12"/>
        <item x="8"/>
        <item x="17"/>
        <item x="21"/>
        <item x="1"/>
        <item x="10"/>
        <item x="6"/>
        <item x="15"/>
        <item x="19"/>
        <item x="4"/>
        <item x="13"/>
        <item t="default"/>
      </items>
    </pivotField>
    <pivotField showAll="0"/>
    <pivotField showAll="0">
      <items count="3">
        <item x="1"/>
        <item x="0"/>
        <item t="default"/>
      </items>
    </pivotField>
    <pivotField showAll="0">
      <items count="6">
        <item x="0"/>
        <item x="2"/>
        <item x="3"/>
        <item x="1"/>
        <item x="4"/>
        <item t="default"/>
      </items>
    </pivotField>
    <pivotField showAll="0"/>
    <pivotField showAll="0"/>
    <pivotField showAll="0"/>
    <pivotField showAll="0"/>
    <pivotField showAll="0"/>
    <pivotField showAll="0"/>
    <pivotField dataField="1" numFmtId="9" showAll="0"/>
    <pivotField numFmtId="10" showAll="0"/>
    <pivotField showAll="0"/>
    <pivotField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Attendance %" fld="12" baseField="0" baseItem="0" numFmtId="9"/>
  </dataFields>
  <formats count="5">
    <format dxfId="41">
      <pivotArea type="all" dataOnly="0" outline="0" fieldPosition="0"/>
    </format>
    <format dxfId="40">
      <pivotArea outline="0" collapsedLevelsAreSubtotals="1" fieldPosition="0"/>
    </format>
    <format dxfId="39">
      <pivotArea field="1" type="button" dataOnly="0" labelOnly="1" outline="0"/>
    </format>
    <format dxfId="38">
      <pivotArea dataOnly="0" labelOnly="1" grandRow="1" outline="0" fieldPosition="0"/>
    </format>
    <format dxfId="37">
      <pivotArea dataOnly="0" labelOnly="1" outline="0" axis="axisValues" fieldPosition="0"/>
    </format>
  </formats>
  <chartFormats count="30">
    <chartFormat chart="23"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0" format="1">
      <pivotArea type="data" outline="0" fieldPosition="0">
        <references count="2">
          <reference field="4294967294" count="1" selected="0">
            <x v="0"/>
          </reference>
          <reference field="2" count="1" selected="0">
            <x v="4"/>
          </reference>
        </references>
      </pivotArea>
    </chartFormat>
    <chartFormat chart="30" format="2">
      <pivotArea type="data" outline="0" fieldPosition="0">
        <references count="2">
          <reference field="4294967294" count="1" selected="0">
            <x v="0"/>
          </reference>
          <reference field="2" count="1" selected="0">
            <x v="5"/>
          </reference>
        </references>
      </pivotArea>
    </chartFormat>
    <chartFormat chart="30" format="3">
      <pivotArea type="data" outline="0" fieldPosition="0">
        <references count="2">
          <reference field="4294967294" count="1" selected="0">
            <x v="0"/>
          </reference>
          <reference field="2" count="1" selected="0">
            <x v="17"/>
          </reference>
        </references>
      </pivotArea>
    </chartFormat>
    <chartFormat chart="30" format="4">
      <pivotArea type="data" outline="0" fieldPosition="0">
        <references count="2">
          <reference field="4294967294" count="1" selected="0">
            <x v="0"/>
          </reference>
          <reference field="2" count="1" selected="0">
            <x v="16"/>
          </reference>
        </references>
      </pivotArea>
    </chartFormat>
    <chartFormat chart="30" format="5">
      <pivotArea type="data" outline="0" fieldPosition="0">
        <references count="2">
          <reference field="4294967294" count="1" selected="0">
            <x v="0"/>
          </reference>
          <reference field="2" count="1" selected="0">
            <x v="15"/>
          </reference>
        </references>
      </pivotArea>
    </chartFormat>
    <chartFormat chart="38" format="29" series="1">
      <pivotArea type="data" outline="0" fieldPosition="0">
        <references count="1">
          <reference field="4294967294" count="1" selected="0">
            <x v="0"/>
          </reference>
        </references>
      </pivotArea>
    </chartFormat>
    <chartFormat chart="38" format="30">
      <pivotArea type="data" outline="0" fieldPosition="0">
        <references count="2">
          <reference field="4294967294" count="1" selected="0">
            <x v="0"/>
          </reference>
          <reference field="2" count="1" selected="0">
            <x v="0"/>
          </reference>
        </references>
      </pivotArea>
    </chartFormat>
    <chartFormat chart="38" format="31">
      <pivotArea type="data" outline="0" fieldPosition="0">
        <references count="2">
          <reference field="4294967294" count="1" selected="0">
            <x v="0"/>
          </reference>
          <reference field="2" count="1" selected="0">
            <x v="1"/>
          </reference>
        </references>
      </pivotArea>
    </chartFormat>
    <chartFormat chart="38" format="32">
      <pivotArea type="data" outline="0" fieldPosition="0">
        <references count="2">
          <reference field="4294967294" count="1" selected="0">
            <x v="0"/>
          </reference>
          <reference field="2" count="1" selected="0">
            <x v="2"/>
          </reference>
        </references>
      </pivotArea>
    </chartFormat>
    <chartFormat chart="38" format="33">
      <pivotArea type="data" outline="0" fieldPosition="0">
        <references count="2">
          <reference field="4294967294" count="1" selected="0">
            <x v="0"/>
          </reference>
          <reference field="2" count="1" selected="0">
            <x v="3"/>
          </reference>
        </references>
      </pivotArea>
    </chartFormat>
    <chartFormat chart="38" format="34">
      <pivotArea type="data" outline="0" fieldPosition="0">
        <references count="2">
          <reference field="4294967294" count="1" selected="0">
            <x v="0"/>
          </reference>
          <reference field="2" count="1" selected="0">
            <x v="4"/>
          </reference>
        </references>
      </pivotArea>
    </chartFormat>
    <chartFormat chart="38" format="35">
      <pivotArea type="data" outline="0" fieldPosition="0">
        <references count="2">
          <reference field="4294967294" count="1" selected="0">
            <x v="0"/>
          </reference>
          <reference field="2" count="1" selected="0">
            <x v="5"/>
          </reference>
        </references>
      </pivotArea>
    </chartFormat>
    <chartFormat chart="38" format="36">
      <pivotArea type="data" outline="0" fieldPosition="0">
        <references count="2">
          <reference field="4294967294" count="1" selected="0">
            <x v="0"/>
          </reference>
          <reference field="2" count="1" selected="0">
            <x v="6"/>
          </reference>
        </references>
      </pivotArea>
    </chartFormat>
    <chartFormat chart="38" format="37">
      <pivotArea type="data" outline="0" fieldPosition="0">
        <references count="2">
          <reference field="4294967294" count="1" selected="0">
            <x v="0"/>
          </reference>
          <reference field="2" count="1" selected="0">
            <x v="7"/>
          </reference>
        </references>
      </pivotArea>
    </chartFormat>
    <chartFormat chart="38" format="38">
      <pivotArea type="data" outline="0" fieldPosition="0">
        <references count="2">
          <reference field="4294967294" count="1" selected="0">
            <x v="0"/>
          </reference>
          <reference field="2" count="1" selected="0">
            <x v="8"/>
          </reference>
        </references>
      </pivotArea>
    </chartFormat>
    <chartFormat chart="38" format="39">
      <pivotArea type="data" outline="0" fieldPosition="0">
        <references count="2">
          <reference field="4294967294" count="1" selected="0">
            <x v="0"/>
          </reference>
          <reference field="2" count="1" selected="0">
            <x v="9"/>
          </reference>
        </references>
      </pivotArea>
    </chartFormat>
    <chartFormat chart="38" format="40">
      <pivotArea type="data" outline="0" fieldPosition="0">
        <references count="2">
          <reference field="4294967294" count="1" selected="0">
            <x v="0"/>
          </reference>
          <reference field="2" count="1" selected="0">
            <x v="10"/>
          </reference>
        </references>
      </pivotArea>
    </chartFormat>
    <chartFormat chart="38" format="41">
      <pivotArea type="data" outline="0" fieldPosition="0">
        <references count="2">
          <reference field="4294967294" count="1" selected="0">
            <x v="0"/>
          </reference>
          <reference field="2" count="1" selected="0">
            <x v="11"/>
          </reference>
        </references>
      </pivotArea>
    </chartFormat>
    <chartFormat chart="38" format="42">
      <pivotArea type="data" outline="0" fieldPosition="0">
        <references count="2">
          <reference field="4294967294" count="1" selected="0">
            <x v="0"/>
          </reference>
          <reference field="2" count="1" selected="0">
            <x v="12"/>
          </reference>
        </references>
      </pivotArea>
    </chartFormat>
    <chartFormat chart="38" format="43">
      <pivotArea type="data" outline="0" fieldPosition="0">
        <references count="2">
          <reference field="4294967294" count="1" selected="0">
            <x v="0"/>
          </reference>
          <reference field="2" count="1" selected="0">
            <x v="13"/>
          </reference>
        </references>
      </pivotArea>
    </chartFormat>
    <chartFormat chart="38" format="44">
      <pivotArea type="data" outline="0" fieldPosition="0">
        <references count="2">
          <reference field="4294967294" count="1" selected="0">
            <x v="0"/>
          </reference>
          <reference field="2" count="1" selected="0">
            <x v="14"/>
          </reference>
        </references>
      </pivotArea>
    </chartFormat>
    <chartFormat chart="38" format="45">
      <pivotArea type="data" outline="0" fieldPosition="0">
        <references count="2">
          <reference field="4294967294" count="1" selected="0">
            <x v="0"/>
          </reference>
          <reference field="2" count="1" selected="0">
            <x v="15"/>
          </reference>
        </references>
      </pivotArea>
    </chartFormat>
    <chartFormat chart="38" format="46">
      <pivotArea type="data" outline="0" fieldPosition="0">
        <references count="2">
          <reference field="4294967294" count="1" selected="0">
            <x v="0"/>
          </reference>
          <reference field="2" count="1" selected="0">
            <x v="16"/>
          </reference>
        </references>
      </pivotArea>
    </chartFormat>
    <chartFormat chart="38" format="47">
      <pivotArea type="data" outline="0" fieldPosition="0">
        <references count="2">
          <reference field="4294967294" count="1" selected="0">
            <x v="0"/>
          </reference>
          <reference field="2" count="1" selected="0">
            <x v="17"/>
          </reference>
        </references>
      </pivotArea>
    </chartFormat>
    <chartFormat chart="38" format="48">
      <pivotArea type="data" outline="0" fieldPosition="0">
        <references count="2">
          <reference field="4294967294" count="1" selected="0">
            <x v="0"/>
          </reference>
          <reference field="2" count="1" selected="0">
            <x v="18"/>
          </reference>
        </references>
      </pivotArea>
    </chartFormat>
    <chartFormat chart="38" format="49">
      <pivotArea type="data" outline="0" fieldPosition="0">
        <references count="2">
          <reference field="4294967294" count="1" selected="0">
            <x v="0"/>
          </reference>
          <reference field="2" count="1" selected="0">
            <x v="19"/>
          </reference>
        </references>
      </pivotArea>
    </chartFormat>
    <chartFormat chart="38" format="50">
      <pivotArea type="data" outline="0" fieldPosition="0">
        <references count="2">
          <reference field="4294967294" count="1" selected="0">
            <x v="0"/>
          </reference>
          <reference field="2" count="1" selected="0">
            <x v="20"/>
          </reference>
        </references>
      </pivotArea>
    </chartFormat>
    <chartFormat chart="38" format="51">
      <pivotArea type="data" outline="0" fieldPosition="0">
        <references count="2">
          <reference field="4294967294" count="1" selected="0">
            <x v="0"/>
          </reference>
          <reference field="2" count="1" selected="0">
            <x v="2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937A57-CCCC-41A3-810A-9C35173F666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D3:E10" firstHeaderRow="1" firstDataRow="1" firstDataCol="1"/>
  <pivotFields count="16">
    <pivotField showAll="0">
      <items count="5">
        <item x="0"/>
        <item x="1"/>
        <item x="2"/>
        <item x="3"/>
        <item t="default"/>
      </items>
    </pivotField>
    <pivotField axis="axisRow" showAll="0">
      <items count="7">
        <item x="0"/>
        <item x="1"/>
        <item x="2"/>
        <item x="3"/>
        <item x="4"/>
        <item x="5"/>
        <item t="default"/>
      </items>
    </pivotField>
    <pivotField showAll="0"/>
    <pivotField showAll="0"/>
    <pivotField showAll="0"/>
    <pivotField showAll="0">
      <items count="6">
        <item x="0"/>
        <item x="2"/>
        <item x="3"/>
        <item x="1"/>
        <item x="4"/>
        <item t="default"/>
      </items>
    </pivotField>
    <pivotField showAll="0"/>
    <pivotField showAll="0"/>
    <pivotField showAll="0"/>
    <pivotField dataField="1" showAll="0"/>
    <pivotField showAll="0"/>
    <pivotField showAll="0"/>
    <pivotField numFmtId="9" showAll="0"/>
    <pivotField numFmtId="10" showAll="0"/>
    <pivotField showAll="0"/>
    <pivotField showAll="0"/>
  </pivotFields>
  <rowFields count="1">
    <field x="1"/>
  </rowFields>
  <rowItems count="7">
    <i>
      <x/>
    </i>
    <i>
      <x v="1"/>
    </i>
    <i>
      <x v="2"/>
    </i>
    <i>
      <x v="3"/>
    </i>
    <i>
      <x v="4"/>
    </i>
    <i>
      <x v="5"/>
    </i>
    <i t="grand">
      <x/>
    </i>
  </rowItems>
  <colItems count="1">
    <i/>
  </colItems>
  <dataFields count="1">
    <dataField name="Sum of Internal Marks" fld="9" baseField="0" baseItem="0" numFmtId="2"/>
  </dataFields>
  <formats count="6">
    <format dxfId="47">
      <pivotArea type="all" dataOnly="0" outline="0" fieldPosition="0"/>
    </format>
    <format dxfId="46">
      <pivotArea outline="0" collapsedLevelsAreSubtotals="1" fieldPosition="0"/>
    </format>
    <format dxfId="45">
      <pivotArea field="1" type="button" dataOnly="0" labelOnly="1" outline="0" axis="axisRow" fieldPosition="0"/>
    </format>
    <format dxfId="44">
      <pivotArea dataOnly="0" labelOnly="1" fieldPosition="0">
        <references count="1">
          <reference field="1" count="0"/>
        </references>
      </pivotArea>
    </format>
    <format dxfId="43">
      <pivotArea dataOnly="0" labelOnly="1" grandRow="1" outline="0" fieldPosition="0"/>
    </format>
    <format dxfId="42">
      <pivotArea dataOnly="0" labelOnly="1" outline="0" axis="axisValues" fieldPosition="0"/>
    </format>
  </formats>
  <chartFormats count="21">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1" count="1" selected="0">
            <x v="0"/>
          </reference>
        </references>
      </pivotArea>
    </chartFormat>
    <chartFormat chart="13" format="2">
      <pivotArea type="data" outline="0" fieldPosition="0">
        <references count="2">
          <reference field="4294967294" count="1" selected="0">
            <x v="0"/>
          </reference>
          <reference field="1" count="1" selected="0">
            <x v="1"/>
          </reference>
        </references>
      </pivotArea>
    </chartFormat>
    <chartFormat chart="13" format="3">
      <pivotArea type="data" outline="0" fieldPosition="0">
        <references count="2">
          <reference field="4294967294" count="1" selected="0">
            <x v="0"/>
          </reference>
          <reference field="1" count="1" selected="0">
            <x v="2"/>
          </reference>
        </references>
      </pivotArea>
    </chartFormat>
    <chartFormat chart="13" format="4">
      <pivotArea type="data" outline="0" fieldPosition="0">
        <references count="2">
          <reference field="4294967294" count="1" selected="0">
            <x v="0"/>
          </reference>
          <reference field="1" count="1" selected="0">
            <x v="3"/>
          </reference>
        </references>
      </pivotArea>
    </chartFormat>
    <chartFormat chart="13" format="5">
      <pivotArea type="data" outline="0" fieldPosition="0">
        <references count="2">
          <reference field="4294967294" count="1" selected="0">
            <x v="0"/>
          </reference>
          <reference field="1" count="1" selected="0">
            <x v="4"/>
          </reference>
        </references>
      </pivotArea>
    </chartFormat>
    <chartFormat chart="13" format="6">
      <pivotArea type="data" outline="0" fieldPosition="0">
        <references count="2">
          <reference field="4294967294" count="1" selected="0">
            <x v="0"/>
          </reference>
          <reference field="1" count="1" selected="0">
            <x v="5"/>
          </reference>
        </references>
      </pivotArea>
    </chartFormat>
    <chartFormat chart="22" format="14" series="1">
      <pivotArea type="data" outline="0" fieldPosition="0">
        <references count="1">
          <reference field="4294967294" count="1" selected="0">
            <x v="0"/>
          </reference>
        </references>
      </pivotArea>
    </chartFormat>
    <chartFormat chart="22" format="15">
      <pivotArea type="data" outline="0" fieldPosition="0">
        <references count="2">
          <reference field="4294967294" count="1" selected="0">
            <x v="0"/>
          </reference>
          <reference field="1" count="1" selected="0">
            <x v="0"/>
          </reference>
        </references>
      </pivotArea>
    </chartFormat>
    <chartFormat chart="22" format="16">
      <pivotArea type="data" outline="0" fieldPosition="0">
        <references count="2">
          <reference field="4294967294" count="1" selected="0">
            <x v="0"/>
          </reference>
          <reference field="1" count="1" selected="0">
            <x v="1"/>
          </reference>
        </references>
      </pivotArea>
    </chartFormat>
    <chartFormat chart="22" format="17">
      <pivotArea type="data" outline="0" fieldPosition="0">
        <references count="2">
          <reference field="4294967294" count="1" selected="0">
            <x v="0"/>
          </reference>
          <reference field="1" count="1" selected="0">
            <x v="2"/>
          </reference>
        </references>
      </pivotArea>
    </chartFormat>
    <chartFormat chart="22" format="18">
      <pivotArea type="data" outline="0" fieldPosition="0">
        <references count="2">
          <reference field="4294967294" count="1" selected="0">
            <x v="0"/>
          </reference>
          <reference field="1" count="1" selected="0">
            <x v="3"/>
          </reference>
        </references>
      </pivotArea>
    </chartFormat>
    <chartFormat chart="22" format="19">
      <pivotArea type="data" outline="0" fieldPosition="0">
        <references count="2">
          <reference field="4294967294" count="1" selected="0">
            <x v="0"/>
          </reference>
          <reference field="1" count="1" selected="0">
            <x v="4"/>
          </reference>
        </references>
      </pivotArea>
    </chartFormat>
    <chartFormat chart="22" format="20">
      <pivotArea type="data" outline="0" fieldPosition="0">
        <references count="2">
          <reference field="4294967294" count="1" selected="0">
            <x v="0"/>
          </reference>
          <reference field="1" count="1" selected="0">
            <x v="5"/>
          </reference>
        </references>
      </pivotArea>
    </chartFormat>
    <chartFormat chart="23" format="7" series="1">
      <pivotArea type="data" outline="0" fieldPosition="0">
        <references count="1">
          <reference field="4294967294" count="1" selected="0">
            <x v="0"/>
          </reference>
        </references>
      </pivotArea>
    </chartFormat>
    <chartFormat chart="23" format="8">
      <pivotArea type="data" outline="0" fieldPosition="0">
        <references count="2">
          <reference field="4294967294" count="1" selected="0">
            <x v="0"/>
          </reference>
          <reference field="1" count="1" selected="0">
            <x v="0"/>
          </reference>
        </references>
      </pivotArea>
    </chartFormat>
    <chartFormat chart="23" format="9">
      <pivotArea type="data" outline="0" fieldPosition="0">
        <references count="2">
          <reference field="4294967294" count="1" selected="0">
            <x v="0"/>
          </reference>
          <reference field="1" count="1" selected="0">
            <x v="1"/>
          </reference>
        </references>
      </pivotArea>
    </chartFormat>
    <chartFormat chart="23" format="10">
      <pivotArea type="data" outline="0" fieldPosition="0">
        <references count="2">
          <reference field="4294967294" count="1" selected="0">
            <x v="0"/>
          </reference>
          <reference field="1" count="1" selected="0">
            <x v="2"/>
          </reference>
        </references>
      </pivotArea>
    </chartFormat>
    <chartFormat chart="23" format="11">
      <pivotArea type="data" outline="0" fieldPosition="0">
        <references count="2">
          <reference field="4294967294" count="1" selected="0">
            <x v="0"/>
          </reference>
          <reference field="1" count="1" selected="0">
            <x v="3"/>
          </reference>
        </references>
      </pivotArea>
    </chartFormat>
    <chartFormat chart="23" format="12">
      <pivotArea type="data" outline="0" fieldPosition="0">
        <references count="2">
          <reference field="4294967294" count="1" selected="0">
            <x v="0"/>
          </reference>
          <reference field="1" count="1" selected="0">
            <x v="4"/>
          </reference>
        </references>
      </pivotArea>
    </chartFormat>
    <chartFormat chart="23" format="13">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427911-2F9A-45F5-8507-6385C3E418A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6">
    <pivotField axis="axisRow" showAll="0">
      <items count="5">
        <item x="0"/>
        <item x="1"/>
        <item x="2"/>
        <item x="3"/>
        <item t="default"/>
      </items>
    </pivotField>
    <pivotField showAll="0"/>
    <pivotField showAll="0"/>
    <pivotField showAll="0"/>
    <pivotField showAll="0"/>
    <pivotField showAll="0">
      <items count="6">
        <item x="0"/>
        <item x="2"/>
        <item x="3"/>
        <item x="1"/>
        <item x="4"/>
        <item t="default"/>
      </items>
    </pivotField>
    <pivotField showAll="0"/>
    <pivotField showAll="0"/>
    <pivotField showAll="0"/>
    <pivotField showAll="0"/>
    <pivotField dataField="1" showAll="0"/>
    <pivotField showAll="0"/>
    <pivotField numFmtId="9" showAll="0"/>
    <pivotField numFmtId="10" showAll="0"/>
    <pivotField showAll="0"/>
    <pivotField showAll="0"/>
  </pivotFields>
  <rowFields count="1">
    <field x="0"/>
  </rowFields>
  <rowItems count="5">
    <i>
      <x/>
    </i>
    <i>
      <x v="1"/>
    </i>
    <i>
      <x v="2"/>
    </i>
    <i>
      <x v="3"/>
    </i>
    <i t="grand">
      <x/>
    </i>
  </rowItems>
  <colItems count="1">
    <i/>
  </colItems>
  <dataFields count="1">
    <dataField name="Sum of Total Marks" fld="10" baseField="0" baseItem="0"/>
  </dataFields>
  <chartFormats count="2">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6A2A511-A1D6-4A1D-8855-DEF9AF4D9846}" sourceName="Year">
  <pivotTables>
    <pivotTable tabId="3" name="PivotTable2"/>
    <pivotTable tabId="3" name="PivotTable3"/>
    <pivotTable tabId="3" name="PivotTable4"/>
    <pivotTable tabId="3" name="PivotTable5"/>
    <pivotTable tabId="3" name="PivotTable6"/>
    <pivotTable tabId="3" name="PivotTable7"/>
  </pivotTables>
  <data>
    <tabular pivotCacheId="1510738037">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F29ACB4-4C96-4D94-90C9-6F1D29B2792F}" sourceName="Department">
  <pivotTables>
    <pivotTable tabId="3" name="PivotTable6"/>
    <pivotTable tabId="3" name="PivotTable2"/>
    <pivotTable tabId="3" name="PivotTable3"/>
    <pivotTable tabId="3" name="PivotTable4"/>
    <pivotTable tabId="3" name="PivotTable5"/>
    <pivotTable tabId="3" name="PivotTable7"/>
  </pivotTables>
  <data>
    <tabular pivotCacheId="1510738037">
      <items count="5">
        <i x="0" s="1"/>
        <i x="2" s="1"/>
        <i x="3"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EE8693A-A622-47CF-837F-F90AF2998729}" cache="Slicer_Year" caption="Year" style="SlicerStyleOther1" rowHeight="234950"/>
  <slicer name="Department" xr10:uid="{900E9D98-ACA3-4FBA-94C1-8E0CC6BFA137}" cache="Slicer_Department" caption="Department"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C47814-E877-4CCA-B1B9-366338FAA5B2}" name="Table1" displayName="Table1" ref="A1:P23" totalsRowShown="0" headerRowDxfId="17" dataDxfId="16">
  <autoFilter ref="A1:P23" xr:uid="{1DC47814-E877-4CCA-B1B9-366338FAA5B2}"/>
  <tableColumns count="16">
    <tableColumn id="1" xr3:uid="{D016E1DB-F03B-45EE-A362-1134B8B1257D}" name="Year" dataDxfId="15"/>
    <tableColumn id="2" xr3:uid="{C45D5646-2694-41B9-A808-37208D8F716E}" name="Month" dataDxfId="14"/>
    <tableColumn id="3" xr3:uid="{4D145666-A96B-4FF1-98DA-0109611AD1E8}" name="Roll No" dataDxfId="13"/>
    <tableColumn id="4" xr3:uid="{F49F459E-F759-4DCD-A4A2-C78103BE1475}" name="Stud+D1:D23ent Name" dataDxfId="12"/>
    <tableColumn id="5" xr3:uid="{C9BA4BDE-F560-4CA0-BDEB-D015B8474C6A}" name="Gender" dataDxfId="11"/>
    <tableColumn id="6" xr3:uid="{36CF9790-9D49-41F3-BEC4-BA6C7FCC13BC}" name="Department" dataDxfId="10"/>
    <tableColumn id="7" xr3:uid="{763F5FBB-BF99-4BAA-B11E-A91B7E30119C}" name="Subject 1" dataDxfId="9"/>
    <tableColumn id="8" xr3:uid="{0E98BC63-A712-45DC-8AB0-C6EA08B89485}" name="Subject 2" dataDxfId="8"/>
    <tableColumn id="9" xr3:uid="{D38DBE85-440A-47B6-B03A-9CB2622D1895}" name="Subject 3" dataDxfId="7"/>
    <tableColumn id="10" xr3:uid="{41526133-5B08-4FCE-B090-CF149E4216F8}" name="Internal Marks" dataDxfId="6"/>
    <tableColumn id="11" xr3:uid="{4BB8B4F5-7A8E-452C-9FB5-5881BAA1605B}" name="Total Marks" dataDxfId="5"/>
    <tableColumn id="12" xr3:uid="{F4E14024-336B-43FA-AE13-D348B00D81DC}" name="Obtained Marks" dataDxfId="4"/>
    <tableColumn id="13" xr3:uid="{9A4EBAFF-5E10-44B8-83E0-E9ECA01668A2}" name="Attendance %" dataDxfId="3"/>
    <tableColumn id="14" xr3:uid="{617E85A7-7293-4697-9FA9-BA40106334CF}" name="Percentage" dataDxfId="2"/>
    <tableColumn id="15" xr3:uid="{EA91B9C0-01C8-4D21-99D2-B60CD5DC0FF6}" name="Result" dataDxfId="1"/>
    <tableColumn id="16" xr3:uid="{E9448F22-7803-4EBD-94C1-D72E7BD62325}" name="Grade" dataDxfId="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E0E5A-7E65-41B3-A183-F94DBA4CF2BE}">
  <dimension ref="A10"/>
  <sheetViews>
    <sheetView topLeftCell="A4" workbookViewId="0">
      <selection activeCell="A15" sqref="A15"/>
    </sheetView>
  </sheetViews>
  <sheetFormatPr defaultRowHeight="14.4" x14ac:dyDescent="0.3"/>
  <sheetData>
    <row r="10" ht="18.600000000000001"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F4715-96E9-4C0A-88E2-6F341D4B7CB8}">
  <dimension ref="A3:K26"/>
  <sheetViews>
    <sheetView tabSelected="1" topLeftCell="A31" workbookViewId="0">
      <selection activeCell="N4" sqref="N1:N1048576"/>
    </sheetView>
  </sheetViews>
  <sheetFormatPr defaultRowHeight="14.4" x14ac:dyDescent="0.3"/>
  <cols>
    <col min="1" max="1" width="12.5546875" bestFit="1" customWidth="1"/>
    <col min="2" max="2" width="17.5546875" bestFit="1" customWidth="1"/>
    <col min="4" max="4" width="12.5546875" bestFit="1" customWidth="1"/>
    <col min="5" max="5" width="21.109375" bestFit="1" customWidth="1"/>
    <col min="6" max="6" width="9.88671875" customWidth="1"/>
    <col min="7" max="7" width="12.5546875" bestFit="1" customWidth="1"/>
    <col min="8" max="8" width="19.33203125" bestFit="1" customWidth="1"/>
    <col min="9" max="9" width="12.88671875" customWidth="1"/>
    <col min="10" max="10" width="12.5546875" bestFit="1" customWidth="1"/>
    <col min="11" max="11" width="13.88671875" bestFit="1" customWidth="1"/>
  </cols>
  <sheetData>
    <row r="3" spans="1:11" x14ac:dyDescent="0.3">
      <c r="A3" s="6" t="s">
        <v>106</v>
      </c>
      <c r="B3" t="s">
        <v>108</v>
      </c>
      <c r="D3" s="8" t="s">
        <v>106</v>
      </c>
      <c r="E3" s="9" t="s">
        <v>109</v>
      </c>
      <c r="G3" s="8" t="s">
        <v>106</v>
      </c>
      <c r="H3" s="3" t="s">
        <v>110</v>
      </c>
      <c r="J3" s="8" t="s">
        <v>106</v>
      </c>
      <c r="K3" s="9" t="s">
        <v>111</v>
      </c>
    </row>
    <row r="4" spans="1:11" x14ac:dyDescent="0.3">
      <c r="A4" s="7">
        <v>2021</v>
      </c>
      <c r="B4">
        <v>1500</v>
      </c>
      <c r="D4" s="10" t="s">
        <v>4</v>
      </c>
      <c r="E4" s="9">
        <v>95.8055555555555</v>
      </c>
      <c r="G4" s="10" t="s">
        <v>18</v>
      </c>
      <c r="H4" s="9">
        <v>0.94</v>
      </c>
      <c r="J4" s="10" t="s">
        <v>93</v>
      </c>
      <c r="K4" s="11">
        <v>1</v>
      </c>
    </row>
    <row r="5" spans="1:11" x14ac:dyDescent="0.3">
      <c r="A5" s="7">
        <v>2022</v>
      </c>
      <c r="B5">
        <v>2700</v>
      </c>
      <c r="D5" s="10" t="s">
        <v>26</v>
      </c>
      <c r="E5" s="9">
        <v>33.877777777777801</v>
      </c>
      <c r="G5" s="10" t="s">
        <v>97</v>
      </c>
      <c r="H5" s="9">
        <v>0.80444444444444496</v>
      </c>
      <c r="J5" s="10" t="s">
        <v>19</v>
      </c>
      <c r="K5" s="11">
        <v>2</v>
      </c>
    </row>
    <row r="6" spans="1:11" x14ac:dyDescent="0.3">
      <c r="A6" s="7">
        <v>2023</v>
      </c>
      <c r="B6">
        <v>1200</v>
      </c>
      <c r="D6" s="10" t="s">
        <v>34</v>
      </c>
      <c r="E6" s="9">
        <v>74.855555555555497</v>
      </c>
      <c r="G6" s="10" t="s">
        <v>58</v>
      </c>
      <c r="H6" s="9">
        <v>0.98</v>
      </c>
      <c r="J6" s="10" t="s">
        <v>36</v>
      </c>
      <c r="K6" s="11">
        <v>2</v>
      </c>
    </row>
    <row r="7" spans="1:11" x14ac:dyDescent="0.3">
      <c r="A7" s="7">
        <v>2025</v>
      </c>
      <c r="B7">
        <v>1200</v>
      </c>
      <c r="D7" s="10" t="s">
        <v>42</v>
      </c>
      <c r="E7" s="9">
        <v>37.244444444444397</v>
      </c>
      <c r="G7" s="10" t="s">
        <v>102</v>
      </c>
      <c r="H7" s="9">
        <v>0.72777777777777797</v>
      </c>
      <c r="J7" s="10" t="s">
        <v>28</v>
      </c>
      <c r="K7" s="11">
        <v>2</v>
      </c>
    </row>
    <row r="8" spans="1:11" x14ac:dyDescent="0.3">
      <c r="A8" s="7" t="s">
        <v>107</v>
      </c>
      <c r="B8">
        <v>6600</v>
      </c>
      <c r="D8" s="10" t="s">
        <v>50</v>
      </c>
      <c r="E8" s="9">
        <v>65.905555555555594</v>
      </c>
      <c r="G8" s="10" t="s">
        <v>80</v>
      </c>
      <c r="H8" s="9">
        <v>0.94</v>
      </c>
      <c r="J8" s="10" t="s">
        <v>52</v>
      </c>
      <c r="K8" s="11">
        <v>2</v>
      </c>
    </row>
    <row r="9" spans="1:11" x14ac:dyDescent="0.3">
      <c r="D9" s="10" t="s">
        <v>72</v>
      </c>
      <c r="E9" s="9">
        <v>36.661111111111097</v>
      </c>
      <c r="G9" s="10" t="s">
        <v>35</v>
      </c>
      <c r="H9" s="9">
        <v>0.88</v>
      </c>
      <c r="J9" s="10" t="s">
        <v>59</v>
      </c>
      <c r="K9" s="11">
        <v>2</v>
      </c>
    </row>
    <row r="10" spans="1:11" x14ac:dyDescent="0.3">
      <c r="D10" s="10" t="s">
        <v>107</v>
      </c>
      <c r="E10" s="9">
        <v>344.34999999999985</v>
      </c>
      <c r="G10" s="10" t="s">
        <v>99</v>
      </c>
      <c r="H10" s="9">
        <v>0.77377777777777801</v>
      </c>
      <c r="J10" s="10" t="s">
        <v>64</v>
      </c>
      <c r="K10" s="11">
        <v>2</v>
      </c>
    </row>
    <row r="11" spans="1:11" x14ac:dyDescent="0.3">
      <c r="G11" s="10" t="s">
        <v>67</v>
      </c>
      <c r="H11" s="9">
        <v>0.7</v>
      </c>
      <c r="J11" s="10" t="s">
        <v>68</v>
      </c>
      <c r="K11" s="11">
        <v>2</v>
      </c>
    </row>
    <row r="12" spans="1:11" x14ac:dyDescent="0.3">
      <c r="G12" s="10" t="s">
        <v>104</v>
      </c>
      <c r="H12" s="9">
        <v>0.69711111111111201</v>
      </c>
      <c r="J12" s="10" t="s">
        <v>74</v>
      </c>
      <c r="K12" s="11">
        <v>2</v>
      </c>
    </row>
    <row r="13" spans="1:11" x14ac:dyDescent="0.3">
      <c r="G13" s="10" t="s">
        <v>89</v>
      </c>
      <c r="H13" s="9">
        <v>0.88</v>
      </c>
      <c r="J13" s="10" t="s">
        <v>44</v>
      </c>
      <c r="K13" s="11">
        <v>2</v>
      </c>
    </row>
    <row r="14" spans="1:11" x14ac:dyDescent="0.3">
      <c r="G14" s="10" t="s">
        <v>43</v>
      </c>
      <c r="H14" s="9">
        <v>0.95</v>
      </c>
      <c r="J14" s="10" t="s">
        <v>81</v>
      </c>
      <c r="K14" s="11">
        <v>1</v>
      </c>
    </row>
    <row r="15" spans="1:11" x14ac:dyDescent="0.3">
      <c r="A15" s="8" t="s">
        <v>106</v>
      </c>
      <c r="B15" s="9" t="s">
        <v>112</v>
      </c>
      <c r="D15" s="8" t="s">
        <v>106</v>
      </c>
      <c r="E15" s="9" t="s">
        <v>113</v>
      </c>
      <c r="G15" s="10" t="s">
        <v>100</v>
      </c>
      <c r="H15" s="9">
        <v>0.75844444444444403</v>
      </c>
      <c r="J15" s="10" t="s">
        <v>85</v>
      </c>
      <c r="K15" s="11">
        <v>1</v>
      </c>
    </row>
    <row r="16" spans="1:11" x14ac:dyDescent="0.3">
      <c r="A16" s="10" t="s">
        <v>21</v>
      </c>
      <c r="B16" s="11">
        <v>5</v>
      </c>
      <c r="D16" s="10" t="s">
        <v>21</v>
      </c>
      <c r="E16" s="11">
        <v>1174.416666666667</v>
      </c>
      <c r="G16" s="10" t="s">
        <v>73</v>
      </c>
      <c r="H16" s="9">
        <v>0.85</v>
      </c>
      <c r="J16" s="10" t="s">
        <v>90</v>
      </c>
      <c r="K16" s="11">
        <v>1</v>
      </c>
    </row>
    <row r="17" spans="1:11" x14ac:dyDescent="0.3">
      <c r="A17" s="10" t="s">
        <v>37</v>
      </c>
      <c r="B17" s="11">
        <v>5</v>
      </c>
      <c r="D17" s="10" t="s">
        <v>37</v>
      </c>
      <c r="E17" s="11">
        <v>911.15</v>
      </c>
      <c r="G17" s="10" t="s">
        <v>105</v>
      </c>
      <c r="H17" s="9">
        <v>0.68177777777777804</v>
      </c>
      <c r="J17" s="10" t="s">
        <v>107</v>
      </c>
      <c r="K17" s="11">
        <v>22</v>
      </c>
    </row>
    <row r="18" spans="1:11" x14ac:dyDescent="0.3">
      <c r="A18" s="10" t="s">
        <v>45</v>
      </c>
      <c r="B18" s="11">
        <v>5</v>
      </c>
      <c r="D18" s="10" t="s">
        <v>45</v>
      </c>
      <c r="E18" s="11">
        <v>994.51666666666699</v>
      </c>
      <c r="G18" s="10" t="s">
        <v>92</v>
      </c>
      <c r="H18" s="9">
        <v>0.6</v>
      </c>
    </row>
    <row r="19" spans="1:11" x14ac:dyDescent="0.3">
      <c r="A19" s="10" t="s">
        <v>30</v>
      </c>
      <c r="B19" s="11">
        <v>5</v>
      </c>
      <c r="D19" s="10" t="s">
        <v>30</v>
      </c>
      <c r="E19" s="11">
        <v>986.78333333333296</v>
      </c>
      <c r="G19" s="10" t="s">
        <v>27</v>
      </c>
      <c r="H19" s="9">
        <v>0.91</v>
      </c>
    </row>
    <row r="20" spans="1:11" x14ac:dyDescent="0.3">
      <c r="A20" s="10" t="s">
        <v>53</v>
      </c>
      <c r="B20" s="11">
        <v>2</v>
      </c>
      <c r="D20" s="10" t="s">
        <v>53</v>
      </c>
      <c r="E20" s="11">
        <v>368.98333333333301</v>
      </c>
      <c r="G20" s="10" t="s">
        <v>98</v>
      </c>
      <c r="H20" s="9">
        <v>0.78911111111111198</v>
      </c>
    </row>
    <row r="21" spans="1:11" x14ac:dyDescent="0.3">
      <c r="A21" s="10" t="s">
        <v>107</v>
      </c>
      <c r="B21" s="11">
        <v>22</v>
      </c>
      <c r="D21" s="10" t="s">
        <v>107</v>
      </c>
      <c r="E21" s="11">
        <v>4435.8499999999995</v>
      </c>
      <c r="G21" s="10" t="s">
        <v>63</v>
      </c>
      <c r="H21" s="9">
        <v>0.9</v>
      </c>
    </row>
    <row r="22" spans="1:11" x14ac:dyDescent="0.3">
      <c r="A22" s="9"/>
      <c r="B22" s="9"/>
      <c r="G22" s="10" t="s">
        <v>103</v>
      </c>
      <c r="H22" s="9">
        <v>0.71244444444444499</v>
      </c>
    </row>
    <row r="23" spans="1:11" x14ac:dyDescent="0.3">
      <c r="G23" s="10" t="s">
        <v>84</v>
      </c>
      <c r="H23" s="9">
        <v>0.78</v>
      </c>
    </row>
    <row r="24" spans="1:11" x14ac:dyDescent="0.3">
      <c r="G24" s="10" t="s">
        <v>51</v>
      </c>
      <c r="H24" s="9">
        <v>0.82</v>
      </c>
    </row>
    <row r="25" spans="1:11" x14ac:dyDescent="0.3">
      <c r="G25" s="10" t="s">
        <v>101</v>
      </c>
      <c r="H25" s="9">
        <v>0.74311111111111094</v>
      </c>
    </row>
    <row r="26" spans="1:11" x14ac:dyDescent="0.3">
      <c r="G26" s="10" t="s">
        <v>107</v>
      </c>
      <c r="H26" s="9">
        <v>17.818000000000005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30F98-A532-44D0-9A20-E212C3021B8A}">
  <dimension ref="A1:R23"/>
  <sheetViews>
    <sheetView topLeftCell="A18" workbookViewId="0">
      <selection activeCell="R1" sqref="R1"/>
    </sheetView>
  </sheetViews>
  <sheetFormatPr defaultRowHeight="14.4" x14ac:dyDescent="0.3"/>
  <cols>
    <col min="4" max="4" width="15" customWidth="1"/>
    <col min="5" max="5" width="9" customWidth="1"/>
    <col min="6" max="6" width="13" customWidth="1"/>
    <col min="7" max="9" width="10.6640625" customWidth="1"/>
    <col min="10" max="10" width="15.109375" customWidth="1"/>
    <col min="11" max="11" width="12.77734375" customWidth="1"/>
    <col min="12" max="12" width="16.33203125" customWidth="1"/>
    <col min="13" max="13" width="14.5546875" customWidth="1"/>
    <col min="14" max="14" width="12.33203125" customWidth="1"/>
    <col min="18" max="18" width="12.109375" bestFit="1" customWidth="1"/>
  </cols>
  <sheetData>
    <row r="1" spans="1:18" ht="28.8" x14ac:dyDescent="0.3">
      <c r="A1" s="1" t="s">
        <v>0</v>
      </c>
      <c r="B1" s="1" t="s">
        <v>1</v>
      </c>
      <c r="C1" s="1" t="s">
        <v>5</v>
      </c>
      <c r="D1" s="1" t="s">
        <v>114</v>
      </c>
      <c r="E1" s="1" t="s">
        <v>6</v>
      </c>
      <c r="F1" s="1" t="s">
        <v>7</v>
      </c>
      <c r="G1" s="1" t="s">
        <v>8</v>
      </c>
      <c r="H1" s="1" t="s">
        <v>9</v>
      </c>
      <c r="I1" s="1" t="s">
        <v>10</v>
      </c>
      <c r="J1" s="1" t="s">
        <v>11</v>
      </c>
      <c r="K1" s="1" t="s">
        <v>12</v>
      </c>
      <c r="L1" s="1" t="s">
        <v>13</v>
      </c>
      <c r="M1" s="1" t="s">
        <v>14</v>
      </c>
      <c r="N1" s="1" t="s">
        <v>15</v>
      </c>
      <c r="O1" s="1" t="s">
        <v>16</v>
      </c>
      <c r="P1" s="1" t="s">
        <v>17</v>
      </c>
      <c r="R1" s="12"/>
    </row>
    <row r="2" spans="1:18" ht="43.2" x14ac:dyDescent="0.3">
      <c r="A2" s="2">
        <v>2021</v>
      </c>
      <c r="B2" s="2" t="s">
        <v>4</v>
      </c>
      <c r="C2" s="2" t="s">
        <v>18</v>
      </c>
      <c r="D2" s="2" t="s">
        <v>19</v>
      </c>
      <c r="E2" s="2" t="s">
        <v>20</v>
      </c>
      <c r="F2" s="2" t="s">
        <v>21</v>
      </c>
      <c r="G2" s="2" t="s">
        <v>22</v>
      </c>
      <c r="H2" s="2" t="s">
        <v>23</v>
      </c>
      <c r="I2" s="2" t="s">
        <v>24</v>
      </c>
      <c r="J2" s="2">
        <v>20</v>
      </c>
      <c r="K2" s="2">
        <v>300</v>
      </c>
      <c r="L2" s="2">
        <v>260</v>
      </c>
      <c r="M2" s="4">
        <v>0.94</v>
      </c>
      <c r="N2" s="5">
        <v>0.86670000000000003</v>
      </c>
      <c r="O2" s="2" t="s">
        <v>2</v>
      </c>
      <c r="P2" s="2" t="s">
        <v>25</v>
      </c>
    </row>
    <row r="3" spans="1:18" ht="28.8" x14ac:dyDescent="0.3">
      <c r="A3" s="2">
        <v>2021</v>
      </c>
      <c r="B3" s="2" t="s">
        <v>26</v>
      </c>
      <c r="C3" s="2" t="s">
        <v>27</v>
      </c>
      <c r="D3" s="2" t="s">
        <v>28</v>
      </c>
      <c r="E3" s="2" t="s">
        <v>29</v>
      </c>
      <c r="F3" s="2" t="s">
        <v>30</v>
      </c>
      <c r="G3" s="2" t="s">
        <v>31</v>
      </c>
      <c r="H3" s="2" t="s">
        <v>32</v>
      </c>
      <c r="I3" s="2" t="s">
        <v>33</v>
      </c>
      <c r="J3" s="2">
        <v>18</v>
      </c>
      <c r="K3" s="2">
        <v>300</v>
      </c>
      <c r="L3" s="2">
        <v>228</v>
      </c>
      <c r="M3" s="4">
        <v>0.91</v>
      </c>
      <c r="N3" s="5">
        <v>0.76</v>
      </c>
      <c r="O3" s="2" t="s">
        <v>2</v>
      </c>
      <c r="P3" s="2" t="s">
        <v>25</v>
      </c>
    </row>
    <row r="4" spans="1:18" ht="43.2" x14ac:dyDescent="0.3">
      <c r="A4" s="2">
        <v>2021</v>
      </c>
      <c r="B4" s="2" t="s">
        <v>34</v>
      </c>
      <c r="C4" s="2" t="s">
        <v>35</v>
      </c>
      <c r="D4" s="2" t="s">
        <v>36</v>
      </c>
      <c r="E4" s="2" t="s">
        <v>20</v>
      </c>
      <c r="F4" s="2" t="s">
        <v>37</v>
      </c>
      <c r="G4" s="2" t="s">
        <v>38</v>
      </c>
      <c r="H4" s="2" t="s">
        <v>39</v>
      </c>
      <c r="I4" s="2" t="s">
        <v>40</v>
      </c>
      <c r="J4" s="2">
        <v>15</v>
      </c>
      <c r="K4" s="2">
        <v>300</v>
      </c>
      <c r="L4" s="2">
        <v>202</v>
      </c>
      <c r="M4" s="4">
        <v>0.88</v>
      </c>
      <c r="N4" s="5">
        <v>0.67330000000000001</v>
      </c>
      <c r="O4" s="2" t="s">
        <v>2</v>
      </c>
      <c r="P4" s="2" t="s">
        <v>41</v>
      </c>
    </row>
    <row r="5" spans="1:18" ht="43.2" x14ac:dyDescent="0.3">
      <c r="A5" s="2">
        <v>2021</v>
      </c>
      <c r="B5" s="2" t="s">
        <v>42</v>
      </c>
      <c r="C5" s="2" t="s">
        <v>43</v>
      </c>
      <c r="D5" s="2" t="s">
        <v>44</v>
      </c>
      <c r="E5" s="2" t="s">
        <v>29</v>
      </c>
      <c r="F5" s="2" t="s">
        <v>45</v>
      </c>
      <c r="G5" s="2" t="s">
        <v>46</v>
      </c>
      <c r="H5" s="2" t="s">
        <v>47</v>
      </c>
      <c r="I5" s="2" t="s">
        <v>48</v>
      </c>
      <c r="J5" s="2">
        <v>22</v>
      </c>
      <c r="K5" s="2">
        <v>300</v>
      </c>
      <c r="L5" s="2">
        <v>285</v>
      </c>
      <c r="M5" s="4">
        <v>0.95</v>
      </c>
      <c r="N5" s="5">
        <v>0.95</v>
      </c>
      <c r="O5" s="2" t="s">
        <v>2</v>
      </c>
      <c r="P5" s="2" t="s">
        <v>49</v>
      </c>
    </row>
    <row r="6" spans="1:18" ht="43.2" x14ac:dyDescent="0.3">
      <c r="A6" s="2">
        <v>2021</v>
      </c>
      <c r="B6" s="2" t="s">
        <v>50</v>
      </c>
      <c r="C6" s="2" t="s">
        <v>51</v>
      </c>
      <c r="D6" s="2" t="s">
        <v>52</v>
      </c>
      <c r="E6" s="2" t="s">
        <v>20</v>
      </c>
      <c r="F6" s="2" t="s">
        <v>53</v>
      </c>
      <c r="G6" s="2" t="s">
        <v>54</v>
      </c>
      <c r="H6" s="2" t="s">
        <v>55</v>
      </c>
      <c r="I6" s="2" t="s">
        <v>56</v>
      </c>
      <c r="J6" s="2">
        <v>12</v>
      </c>
      <c r="K6" s="2">
        <v>300</v>
      </c>
      <c r="L6" s="2">
        <v>185</v>
      </c>
      <c r="M6" s="4">
        <v>0.82</v>
      </c>
      <c r="N6" s="5">
        <v>0.61670000000000003</v>
      </c>
      <c r="O6" s="2" t="s">
        <v>2</v>
      </c>
      <c r="P6" s="2" t="s">
        <v>57</v>
      </c>
    </row>
    <row r="7" spans="1:18" ht="43.2" x14ac:dyDescent="0.3">
      <c r="A7" s="2">
        <v>2022</v>
      </c>
      <c r="B7" s="2" t="s">
        <v>4</v>
      </c>
      <c r="C7" s="2" t="s">
        <v>58</v>
      </c>
      <c r="D7" s="2" t="s">
        <v>59</v>
      </c>
      <c r="E7" s="2" t="s">
        <v>20</v>
      </c>
      <c r="F7" s="2" t="s">
        <v>21</v>
      </c>
      <c r="G7" s="2" t="s">
        <v>60</v>
      </c>
      <c r="H7" s="2" t="s">
        <v>61</v>
      </c>
      <c r="I7" s="2" t="s">
        <v>62</v>
      </c>
      <c r="J7" s="2">
        <v>25</v>
      </c>
      <c r="K7" s="2">
        <v>300</v>
      </c>
      <c r="L7" s="2">
        <v>277</v>
      </c>
      <c r="M7" s="4">
        <v>0.98</v>
      </c>
      <c r="N7" s="5">
        <v>0.92330000000000001</v>
      </c>
      <c r="O7" s="2" t="s">
        <v>2</v>
      </c>
      <c r="P7" s="2" t="s">
        <v>49</v>
      </c>
    </row>
    <row r="8" spans="1:18" ht="28.8" x14ac:dyDescent="0.3">
      <c r="A8" s="2">
        <v>2022</v>
      </c>
      <c r="B8" s="2" t="s">
        <v>34</v>
      </c>
      <c r="C8" s="2" t="s">
        <v>63</v>
      </c>
      <c r="D8" s="2" t="s">
        <v>64</v>
      </c>
      <c r="E8" s="2" t="s">
        <v>29</v>
      </c>
      <c r="F8" s="2" t="s">
        <v>30</v>
      </c>
      <c r="G8" s="2" t="s">
        <v>65</v>
      </c>
      <c r="H8" s="2" t="s">
        <v>66</v>
      </c>
      <c r="I8" s="2" t="s">
        <v>33</v>
      </c>
      <c r="J8" s="2">
        <v>20</v>
      </c>
      <c r="K8" s="2">
        <v>300</v>
      </c>
      <c r="L8" s="2">
        <v>223</v>
      </c>
      <c r="M8" s="4">
        <v>0.9</v>
      </c>
      <c r="N8" s="5">
        <v>0.74329999999999996</v>
      </c>
      <c r="O8" s="2" t="s">
        <v>2</v>
      </c>
      <c r="P8" s="2" t="s">
        <v>25</v>
      </c>
    </row>
    <row r="9" spans="1:18" ht="43.2" x14ac:dyDescent="0.3">
      <c r="A9" s="2">
        <v>2022</v>
      </c>
      <c r="B9" s="2" t="s">
        <v>50</v>
      </c>
      <c r="C9" s="2" t="s">
        <v>67</v>
      </c>
      <c r="D9" s="2" t="s">
        <v>68</v>
      </c>
      <c r="E9" s="2" t="s">
        <v>20</v>
      </c>
      <c r="F9" s="2" t="s">
        <v>37</v>
      </c>
      <c r="G9" s="2" t="s">
        <v>69</v>
      </c>
      <c r="H9" s="2" t="s">
        <v>70</v>
      </c>
      <c r="I9" s="2" t="s">
        <v>71</v>
      </c>
      <c r="J9" s="2">
        <v>10</v>
      </c>
      <c r="K9" s="2">
        <v>300</v>
      </c>
      <c r="L9" s="2">
        <v>143</v>
      </c>
      <c r="M9" s="4">
        <v>0.7</v>
      </c>
      <c r="N9" s="5">
        <v>0.47670000000000001</v>
      </c>
      <c r="O9" s="2" t="s">
        <v>3</v>
      </c>
      <c r="P9" s="2" t="s">
        <v>29</v>
      </c>
    </row>
    <row r="10" spans="1:18" ht="43.2" x14ac:dyDescent="0.3">
      <c r="A10" s="2">
        <v>2022</v>
      </c>
      <c r="B10" s="2" t="s">
        <v>72</v>
      </c>
      <c r="C10" s="2" t="s">
        <v>73</v>
      </c>
      <c r="D10" s="2" t="s">
        <v>74</v>
      </c>
      <c r="E10" s="2" t="s">
        <v>29</v>
      </c>
      <c r="F10" s="2" t="s">
        <v>45</v>
      </c>
      <c r="G10" s="2" t="s">
        <v>75</v>
      </c>
      <c r="H10" s="2" t="s">
        <v>76</v>
      </c>
      <c r="I10" s="2" t="s">
        <v>77</v>
      </c>
      <c r="J10" s="2">
        <v>18</v>
      </c>
      <c r="K10" s="2">
        <v>300</v>
      </c>
      <c r="L10" s="2">
        <v>243</v>
      </c>
      <c r="M10" s="4">
        <v>0.85</v>
      </c>
      <c r="N10" s="5">
        <v>0.81</v>
      </c>
      <c r="O10" s="2" t="s">
        <v>2</v>
      </c>
      <c r="P10" s="2" t="s">
        <v>25</v>
      </c>
    </row>
    <row r="11" spans="1:18" ht="43.2" x14ac:dyDescent="0.3">
      <c r="A11" s="2">
        <v>2022</v>
      </c>
      <c r="B11" s="2" t="s">
        <v>4</v>
      </c>
      <c r="C11" s="2" t="s">
        <v>97</v>
      </c>
      <c r="D11" s="2" t="s">
        <v>19</v>
      </c>
      <c r="E11" s="2" t="s">
        <v>20</v>
      </c>
      <c r="F11" s="2" t="s">
        <v>21</v>
      </c>
      <c r="G11" s="2" t="s">
        <v>22</v>
      </c>
      <c r="H11" s="2" t="s">
        <v>23</v>
      </c>
      <c r="I11" s="2" t="s">
        <v>24</v>
      </c>
      <c r="J11" s="2">
        <v>16.1944444444444</v>
      </c>
      <c r="K11" s="2">
        <v>300</v>
      </c>
      <c r="L11" s="2">
        <v>203.25</v>
      </c>
      <c r="M11" s="4">
        <v>0.80444444444444496</v>
      </c>
      <c r="N11" s="5">
        <v>0.67749444444444495</v>
      </c>
      <c r="O11" s="2" t="s">
        <v>2</v>
      </c>
      <c r="P11" s="2" t="s">
        <v>25</v>
      </c>
    </row>
    <row r="12" spans="1:18" ht="28.8" x14ac:dyDescent="0.3">
      <c r="A12" s="2">
        <v>2022</v>
      </c>
      <c r="B12" s="2" t="s">
        <v>26</v>
      </c>
      <c r="C12" s="2" t="s">
        <v>98</v>
      </c>
      <c r="D12" s="2" t="s">
        <v>28</v>
      </c>
      <c r="E12" s="2" t="s">
        <v>29</v>
      </c>
      <c r="F12" s="2" t="s">
        <v>30</v>
      </c>
      <c r="G12" s="2" t="s">
        <v>31</v>
      </c>
      <c r="H12" s="2" t="s">
        <v>32</v>
      </c>
      <c r="I12" s="2" t="s">
        <v>33</v>
      </c>
      <c r="J12" s="2">
        <v>15.8777777777778</v>
      </c>
      <c r="K12" s="2">
        <v>300</v>
      </c>
      <c r="L12" s="2">
        <v>198.433333333333</v>
      </c>
      <c r="M12" s="4">
        <v>0.78911111111111198</v>
      </c>
      <c r="N12" s="5">
        <v>0.66143777777777801</v>
      </c>
      <c r="O12" s="2" t="s">
        <v>2</v>
      </c>
      <c r="P12" s="2" t="s">
        <v>25</v>
      </c>
    </row>
    <row r="13" spans="1:18" ht="28.8" x14ac:dyDescent="0.3">
      <c r="A13" s="2">
        <v>2022</v>
      </c>
      <c r="B13" s="2" t="s">
        <v>34</v>
      </c>
      <c r="C13" s="2" t="s">
        <v>99</v>
      </c>
      <c r="D13" s="2" t="s">
        <v>36</v>
      </c>
      <c r="E13" s="2" t="s">
        <v>20</v>
      </c>
      <c r="F13" s="2" t="s">
        <v>37</v>
      </c>
      <c r="G13" s="2" t="s">
        <v>38</v>
      </c>
      <c r="H13" s="2" t="s">
        <v>39</v>
      </c>
      <c r="I13" s="2" t="s">
        <v>40</v>
      </c>
      <c r="J13" s="2">
        <v>15.561111111111099</v>
      </c>
      <c r="K13" s="2">
        <v>300</v>
      </c>
      <c r="L13" s="2">
        <v>193.61666666666699</v>
      </c>
      <c r="M13" s="4">
        <v>0.77377777777777801</v>
      </c>
      <c r="N13" s="5">
        <v>0.64538111111111196</v>
      </c>
      <c r="O13" s="2" t="s">
        <v>2</v>
      </c>
      <c r="P13" s="2" t="s">
        <v>41</v>
      </c>
    </row>
    <row r="14" spans="1:18" ht="43.2" x14ac:dyDescent="0.3">
      <c r="A14" s="2">
        <v>2022</v>
      </c>
      <c r="B14" s="2" t="s">
        <v>42</v>
      </c>
      <c r="C14" s="2" t="s">
        <v>100</v>
      </c>
      <c r="D14" s="2" t="s">
        <v>44</v>
      </c>
      <c r="E14" s="2" t="s">
        <v>29</v>
      </c>
      <c r="F14" s="2" t="s">
        <v>45</v>
      </c>
      <c r="G14" s="2" t="s">
        <v>46</v>
      </c>
      <c r="H14" s="2" t="s">
        <v>47</v>
      </c>
      <c r="I14" s="2" t="s">
        <v>48</v>
      </c>
      <c r="J14" s="2">
        <v>15.244444444444399</v>
      </c>
      <c r="K14" s="2">
        <v>300</v>
      </c>
      <c r="L14" s="2">
        <v>188.8</v>
      </c>
      <c r="M14" s="4">
        <v>0.75844444444444403</v>
      </c>
      <c r="N14" s="5">
        <v>0.62932444444444502</v>
      </c>
      <c r="O14" s="2" t="s">
        <v>2</v>
      </c>
      <c r="P14" s="2" t="s">
        <v>49</v>
      </c>
    </row>
    <row r="15" spans="1:18" ht="43.2" x14ac:dyDescent="0.3">
      <c r="A15" s="2">
        <v>2022</v>
      </c>
      <c r="B15" s="2" t="s">
        <v>50</v>
      </c>
      <c r="C15" s="2" t="s">
        <v>101</v>
      </c>
      <c r="D15" s="2" t="s">
        <v>52</v>
      </c>
      <c r="E15" s="2" t="s">
        <v>20</v>
      </c>
      <c r="F15" s="2" t="s">
        <v>53</v>
      </c>
      <c r="G15" s="2" t="s">
        <v>54</v>
      </c>
      <c r="H15" s="2" t="s">
        <v>55</v>
      </c>
      <c r="I15" s="2" t="s">
        <v>56</v>
      </c>
      <c r="J15" s="2">
        <v>14.9277777777778</v>
      </c>
      <c r="K15" s="2">
        <v>300</v>
      </c>
      <c r="L15" s="2">
        <v>183.98333333333301</v>
      </c>
      <c r="M15" s="4">
        <v>0.74311111111111094</v>
      </c>
      <c r="N15" s="5">
        <v>0.61326777777777797</v>
      </c>
      <c r="O15" s="2" t="s">
        <v>2</v>
      </c>
      <c r="P15" s="2" t="s">
        <v>57</v>
      </c>
    </row>
    <row r="16" spans="1:18" ht="43.2" x14ac:dyDescent="0.3">
      <c r="A16" s="2">
        <v>2023</v>
      </c>
      <c r="B16" s="2" t="s">
        <v>4</v>
      </c>
      <c r="C16" s="2" t="s">
        <v>102</v>
      </c>
      <c r="D16" s="2" t="s">
        <v>59</v>
      </c>
      <c r="E16" s="2" t="s">
        <v>20</v>
      </c>
      <c r="F16" s="2" t="s">
        <v>21</v>
      </c>
      <c r="G16" s="2" t="s">
        <v>60</v>
      </c>
      <c r="H16" s="2" t="s">
        <v>61</v>
      </c>
      <c r="I16" s="2" t="s">
        <v>62</v>
      </c>
      <c r="J16" s="2">
        <v>14.6111111111111</v>
      </c>
      <c r="K16" s="2">
        <v>300</v>
      </c>
      <c r="L16" s="2">
        <v>179.166666666667</v>
      </c>
      <c r="M16" s="4">
        <v>0.72777777777777797</v>
      </c>
      <c r="N16" s="5">
        <v>0.59721111111111203</v>
      </c>
      <c r="O16" s="2" t="s">
        <v>2</v>
      </c>
      <c r="P16" s="2" t="s">
        <v>49</v>
      </c>
    </row>
    <row r="17" spans="1:16" ht="28.8" x14ac:dyDescent="0.3">
      <c r="A17" s="2">
        <v>2023</v>
      </c>
      <c r="B17" s="2" t="s">
        <v>34</v>
      </c>
      <c r="C17" s="2" t="s">
        <v>103</v>
      </c>
      <c r="D17" s="2" t="s">
        <v>64</v>
      </c>
      <c r="E17" s="2" t="s">
        <v>29</v>
      </c>
      <c r="F17" s="2" t="s">
        <v>30</v>
      </c>
      <c r="G17" s="2" t="s">
        <v>65</v>
      </c>
      <c r="H17" s="2" t="s">
        <v>66</v>
      </c>
      <c r="I17" s="2" t="s">
        <v>33</v>
      </c>
      <c r="J17" s="2">
        <v>14.2944444444444</v>
      </c>
      <c r="K17" s="2">
        <v>300</v>
      </c>
      <c r="L17" s="2">
        <v>174.35</v>
      </c>
      <c r="M17" s="4">
        <v>0.71244444444444499</v>
      </c>
      <c r="N17" s="5">
        <v>0.58115444444444497</v>
      </c>
      <c r="O17" s="2" t="s">
        <v>2</v>
      </c>
      <c r="P17" s="2" t="s">
        <v>25</v>
      </c>
    </row>
    <row r="18" spans="1:16" ht="28.8" x14ac:dyDescent="0.3">
      <c r="A18" s="2">
        <v>2023</v>
      </c>
      <c r="B18" s="2" t="s">
        <v>50</v>
      </c>
      <c r="C18" s="2" t="s">
        <v>104</v>
      </c>
      <c r="D18" s="2" t="s">
        <v>68</v>
      </c>
      <c r="E18" s="2" t="s">
        <v>20</v>
      </c>
      <c r="F18" s="2" t="s">
        <v>37</v>
      </c>
      <c r="G18" s="2" t="s">
        <v>69</v>
      </c>
      <c r="H18" s="2" t="s">
        <v>70</v>
      </c>
      <c r="I18" s="2" t="s">
        <v>71</v>
      </c>
      <c r="J18" s="2">
        <v>13.977777777777799</v>
      </c>
      <c r="K18" s="2">
        <v>300</v>
      </c>
      <c r="L18" s="2">
        <v>169.53333333333299</v>
      </c>
      <c r="M18" s="4">
        <v>0.69711111111111201</v>
      </c>
      <c r="N18" s="5">
        <v>0.56509777777777703</v>
      </c>
      <c r="O18" s="2" t="s">
        <v>3</v>
      </c>
      <c r="P18" s="2" t="s">
        <v>29</v>
      </c>
    </row>
    <row r="19" spans="1:16" ht="43.2" x14ac:dyDescent="0.3">
      <c r="A19" s="2">
        <v>2023</v>
      </c>
      <c r="B19" s="2" t="s">
        <v>72</v>
      </c>
      <c r="C19" s="2" t="s">
        <v>105</v>
      </c>
      <c r="D19" s="2" t="s">
        <v>74</v>
      </c>
      <c r="E19" s="2" t="s">
        <v>29</v>
      </c>
      <c r="F19" s="2" t="s">
        <v>45</v>
      </c>
      <c r="G19" s="2" t="s">
        <v>75</v>
      </c>
      <c r="H19" s="2" t="s">
        <v>76</v>
      </c>
      <c r="I19" s="2" t="s">
        <v>77</v>
      </c>
      <c r="J19" s="2">
        <v>13.661111111111101</v>
      </c>
      <c r="K19" s="2">
        <v>300</v>
      </c>
      <c r="L19" s="2">
        <v>164.71666666666701</v>
      </c>
      <c r="M19" s="4">
        <v>0.68177777777777804</v>
      </c>
      <c r="N19" s="5">
        <v>0.54904111111111198</v>
      </c>
      <c r="O19" s="2" t="s">
        <v>2</v>
      </c>
      <c r="P19" s="2" t="s">
        <v>25</v>
      </c>
    </row>
    <row r="20" spans="1:16" ht="43.2" x14ac:dyDescent="0.3">
      <c r="A20" s="2">
        <v>2025</v>
      </c>
      <c r="B20" s="2" t="s">
        <v>4</v>
      </c>
      <c r="C20" s="2" t="s">
        <v>80</v>
      </c>
      <c r="D20" s="2" t="s">
        <v>81</v>
      </c>
      <c r="E20" s="2" t="s">
        <v>20</v>
      </c>
      <c r="F20" s="2" t="s">
        <v>21</v>
      </c>
      <c r="G20" s="2" t="s">
        <v>82</v>
      </c>
      <c r="H20" s="2" t="s">
        <v>78</v>
      </c>
      <c r="I20" s="2" t="s">
        <v>83</v>
      </c>
      <c r="J20" s="2">
        <v>20</v>
      </c>
      <c r="K20" s="2">
        <v>300</v>
      </c>
      <c r="L20" s="2">
        <v>255</v>
      </c>
      <c r="M20" s="4">
        <v>0.94</v>
      </c>
      <c r="N20" s="5">
        <v>0.85</v>
      </c>
      <c r="O20" s="2" t="s">
        <v>2</v>
      </c>
      <c r="P20" s="2" t="s">
        <v>49</v>
      </c>
    </row>
    <row r="21" spans="1:16" ht="28.8" x14ac:dyDescent="0.3">
      <c r="A21" s="2">
        <v>2025</v>
      </c>
      <c r="B21" s="2" t="s">
        <v>34</v>
      </c>
      <c r="C21" s="2" t="s">
        <v>84</v>
      </c>
      <c r="D21" s="2" t="s">
        <v>85</v>
      </c>
      <c r="E21" s="2" t="s">
        <v>29</v>
      </c>
      <c r="F21" s="2" t="s">
        <v>30</v>
      </c>
      <c r="G21" s="2" t="s">
        <v>86</v>
      </c>
      <c r="H21" s="2" t="s">
        <v>87</v>
      </c>
      <c r="I21" s="2" t="s">
        <v>88</v>
      </c>
      <c r="J21" s="2">
        <v>10</v>
      </c>
      <c r="K21" s="2">
        <v>300</v>
      </c>
      <c r="L21" s="2">
        <v>163</v>
      </c>
      <c r="M21" s="4">
        <v>0.78</v>
      </c>
      <c r="N21" s="5">
        <v>0.54330000000000001</v>
      </c>
      <c r="O21" s="2" t="s">
        <v>2</v>
      </c>
      <c r="P21" s="2" t="s">
        <v>57</v>
      </c>
    </row>
    <row r="22" spans="1:16" ht="43.2" x14ac:dyDescent="0.3">
      <c r="A22" s="2">
        <v>2025</v>
      </c>
      <c r="B22" s="2" t="s">
        <v>50</v>
      </c>
      <c r="C22" s="2" t="s">
        <v>89</v>
      </c>
      <c r="D22" s="2" t="s">
        <v>90</v>
      </c>
      <c r="E22" s="2" t="s">
        <v>29</v>
      </c>
      <c r="F22" s="2" t="s">
        <v>37</v>
      </c>
      <c r="G22" s="2" t="s">
        <v>38</v>
      </c>
      <c r="H22" s="2" t="s">
        <v>79</v>
      </c>
      <c r="I22" s="2" t="s">
        <v>91</v>
      </c>
      <c r="J22" s="2">
        <v>15</v>
      </c>
      <c r="K22" s="2">
        <v>300</v>
      </c>
      <c r="L22" s="2">
        <v>203</v>
      </c>
      <c r="M22" s="4">
        <v>0.88</v>
      </c>
      <c r="N22" s="5">
        <v>0.67669999999999997</v>
      </c>
      <c r="O22" s="2" t="s">
        <v>2</v>
      </c>
      <c r="P22" s="2" t="s">
        <v>41</v>
      </c>
    </row>
    <row r="23" spans="1:16" ht="43.2" x14ac:dyDescent="0.3">
      <c r="A23" s="2">
        <v>2025</v>
      </c>
      <c r="B23" s="2" t="s">
        <v>72</v>
      </c>
      <c r="C23" s="2" t="s">
        <v>92</v>
      </c>
      <c r="D23" s="2" t="s">
        <v>93</v>
      </c>
      <c r="E23" s="2" t="s">
        <v>20</v>
      </c>
      <c r="F23" s="2" t="s">
        <v>45</v>
      </c>
      <c r="G23" s="2" t="s">
        <v>94</v>
      </c>
      <c r="H23" s="2" t="s">
        <v>95</v>
      </c>
      <c r="I23" s="2" t="s">
        <v>96</v>
      </c>
      <c r="J23" s="2">
        <v>5</v>
      </c>
      <c r="K23" s="2">
        <v>300</v>
      </c>
      <c r="L23" s="2">
        <v>113</v>
      </c>
      <c r="M23" s="4">
        <v>0.6</v>
      </c>
      <c r="N23" s="5">
        <v>0.37669999999999998</v>
      </c>
      <c r="O23" s="2" t="s">
        <v>3</v>
      </c>
      <c r="P23" s="2" t="s">
        <v>29</v>
      </c>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student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swetha M</dc:creator>
  <cp:lastModifiedBy>swetha M</cp:lastModifiedBy>
  <dcterms:created xsi:type="dcterms:W3CDTF">2025-09-05T05:55:02Z</dcterms:created>
  <dcterms:modified xsi:type="dcterms:W3CDTF">2025-09-05T09:52:45Z</dcterms:modified>
</cp:coreProperties>
</file>